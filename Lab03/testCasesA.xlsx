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Classes\CEG3110\Lab03\"/>
    </mc:Choice>
  </mc:AlternateContent>
  <xr:revisionPtr revIDLastSave="0" documentId="13_ncr:1_{2E95E29E-41C2-423A-AD44-63102B6E291B}" xr6:coauthVersionLast="47" xr6:coauthVersionMax="47" xr10:uidLastSave="{00000000-0000-0000-0000-000000000000}"/>
  <bookViews>
    <workbookView xWindow="-108" yWindow="-108" windowWidth="30936" windowHeight="19416" tabRatio="500" activeTab="9" xr2:uid="{00000000-000D-0000-FFFF-FFFF00000000}"/>
  </bookViews>
  <sheets>
    <sheet name="Req 1.1" sheetId="1" r:id="rId1"/>
    <sheet name="Req 1.2" sheetId="2" r:id="rId2"/>
    <sheet name="Req 2.1" sheetId="3" r:id="rId3"/>
    <sheet name="Req 2.2" sheetId="4" r:id="rId4"/>
    <sheet name="Req 3.1" sheetId="5" r:id="rId5"/>
    <sheet name="Req 3.2" sheetId="6" r:id="rId6"/>
    <sheet name="Req4.1" sheetId="7" r:id="rId7"/>
    <sheet name="Req4.2" sheetId="8" r:id="rId8"/>
    <sheet name="Req5" sheetId="9" r:id="rId9"/>
    <sheet name="Project3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0" i="10" l="1"/>
  <c r="E36" i="10" s="1"/>
  <c r="D30" i="10"/>
  <c r="D36" i="10" s="1"/>
  <c r="C30" i="10"/>
  <c r="C36" i="10" s="1"/>
  <c r="B30" i="10"/>
  <c r="B36" i="10" s="1"/>
  <c r="E24" i="10"/>
  <c r="D24" i="10"/>
  <c r="C24" i="10"/>
  <c r="B24" i="10"/>
  <c r="E29" i="10"/>
  <c r="E35" i="10" s="1"/>
  <c r="D29" i="10"/>
  <c r="D35" i="10" s="1"/>
  <c r="C29" i="10"/>
  <c r="C35" i="10" s="1"/>
  <c r="B29" i="10"/>
  <c r="B35" i="10" s="1"/>
  <c r="E23" i="10"/>
  <c r="D23" i="10"/>
  <c r="C23" i="10"/>
  <c r="B23" i="10"/>
  <c r="E28" i="10"/>
  <c r="E34" i="10" s="1"/>
  <c r="D28" i="10"/>
  <c r="D34" i="10" s="1"/>
  <c r="C28" i="10"/>
  <c r="C34" i="10" s="1"/>
  <c r="B28" i="10"/>
  <c r="B34" i="10" s="1"/>
  <c r="E22" i="10"/>
  <c r="D22" i="10"/>
  <c r="C22" i="10"/>
  <c r="B22" i="10"/>
  <c r="E27" i="10"/>
  <c r="E33" i="10" s="1"/>
  <c r="D27" i="10"/>
  <c r="D33" i="10" s="1"/>
  <c r="C27" i="10"/>
  <c r="C33" i="10" s="1"/>
  <c r="B27" i="10"/>
  <c r="B33" i="10" s="1"/>
  <c r="E21" i="10"/>
  <c r="D21" i="10"/>
  <c r="C21" i="10"/>
  <c r="B21" i="10"/>
  <c r="B25" i="7"/>
  <c r="B24" i="7"/>
  <c r="B16" i="7"/>
  <c r="B15" i="7"/>
</calcChain>
</file>

<file path=xl/sharedStrings.xml><?xml version="1.0" encoding="utf-8"?>
<sst xmlns="http://schemas.openxmlformats.org/spreadsheetml/2006/main" count="732" uniqueCount="158">
  <si>
    <t>Test Case</t>
  </si>
  <si>
    <t>Input</t>
  </si>
  <si>
    <t>Expected Output</t>
  </si>
  <si>
    <t>Actual Output</t>
  </si>
  <si>
    <t>Pass/Fail</t>
  </si>
  <si>
    <t>Registration Not Open</t>
  </si>
  <si>
    <t>Pass</t>
  </si>
  <si>
    <t>Super Early</t>
  </si>
  <si>
    <t>Early</t>
  </si>
  <si>
    <t>Baseline</t>
  </si>
  <si>
    <t>Late</t>
  </si>
  <si>
    <t>Registration Closed</t>
  </si>
  <si>
    <t>27 for 5k and 10k / 27 for full and marathon</t>
  </si>
  <si>
    <t>26 for 5k and 10k / 27 for full and marathon</t>
  </si>
  <si>
    <t>First: John</t>
  </si>
  <si>
    <t>Last: Smith</t>
  </si>
  <si>
    <t>DOB: 2000-05-20</t>
  </si>
  <si>
    <t>Age: 25</t>
  </si>
  <si>
    <t>Gender: M</t>
  </si>
  <si>
    <t>Email: john.smith@email.com</t>
  </si>
  <si>
    <t>Duplicate entry. Not added to roster.</t>
  </si>
  <si>
    <t>First: Sarah</t>
  </si>
  <si>
    <t>Last: Jones</t>
  </si>
  <si>
    <t>DOB: 2001-05-20</t>
  </si>
  <si>
    <t>Age: 24</t>
  </si>
  <si>
    <t>Gender: F</t>
  </si>
  <si>
    <t>Email: sarah.jones@email.com</t>
  </si>
  <si>
    <t>Test Case 1</t>
  </si>
  <si>
    <t>Test Case 2</t>
  </si>
  <si>
    <t>Test Case 3</t>
  </si>
  <si>
    <t>Race: 5k</t>
  </si>
  <si>
    <t>Race: 10k</t>
  </si>
  <si>
    <t>James</t>
  </si>
  <si>
    <t>O’Connor</t>
  </si>
  <si>
    <t>1985-06-01</t>
  </si>
  <si>
    <t>Age: 40</t>
  </si>
  <si>
    <t>M</t>
  </si>
  <si>
    <t>james.oconnor@email.com</t>
  </si>
  <si>
    <t>Half Marathon</t>
  </si>
  <si>
    <t>Olivia</t>
  </si>
  <si>
    <t>Davis</t>
  </si>
  <si>
    <t>1997-11-30</t>
  </si>
  <si>
    <t>Age: 28</t>
  </si>
  <si>
    <t>F</t>
  </si>
  <si>
    <t>olivia.davis@email.com</t>
  </si>
  <si>
    <t>Full Marathon</t>
  </si>
  <si>
    <t>Test Case 4</t>
  </si>
  <si>
    <t>Test Case 5</t>
  </si>
  <si>
    <t>5k</t>
  </si>
  <si>
    <t>10k</t>
  </si>
  <si>
    <t>Half</t>
  </si>
  <si>
    <t>Full</t>
  </si>
  <si>
    <t>Test Case 6</t>
  </si>
  <si>
    <t>10K</t>
  </si>
  <si>
    <t>Test Case 7</t>
  </si>
  <si>
    <t>Test Case 8</t>
  </si>
  <si>
    <t>Test Case 9</t>
  </si>
  <si>
    <t>Test Case 10</t>
  </si>
  <si>
    <t>Test Case 11</t>
  </si>
  <si>
    <t>Test Case 12</t>
  </si>
  <si>
    <t>Test Case 13</t>
  </si>
  <si>
    <t>Test Case 14</t>
  </si>
  <si>
    <t>Test Case 15</t>
  </si>
  <si>
    <t>Test Case 16</t>
  </si>
  <si>
    <t>DOB: 19601030</t>
  </si>
  <si>
    <t>Registration: 20251029</t>
  </si>
  <si>
    <t>Registration: 20251031</t>
  </si>
  <si>
    <t>25 (30 -5)</t>
  </si>
  <si>
    <t>Verify no Regression</t>
  </si>
  <si>
    <t>Use Registration from 2.1</t>
  </si>
  <si>
    <t>Verify Bundling W/O Senior Discount</t>
  </si>
  <si>
    <t>5k &amp; half</t>
  </si>
  <si>
    <t>Verify Bundling with Senior Discount</t>
  </si>
  <si>
    <t>Use Registrant from 2.1</t>
  </si>
  <si>
    <t>Verify adding when @ 99 total</t>
  </si>
  <si>
    <t>Precondition</t>
  </si>
  <si>
    <t>99 Saturday runners</t>
  </si>
  <si>
    <t>Runner added to roster.</t>
  </si>
  <si>
    <t>Verify denial when @100</t>
  </si>
  <si>
    <t>100 Sunday runners</t>
  </si>
  <si>
    <t>Sunday rosters full.</t>
  </si>
  <si>
    <t>100 Saturday runners</t>
  </si>
  <si>
    <t>Saturday rosters full.</t>
  </si>
  <si>
    <t>Verify ability to print rosters</t>
  </si>
  <si>
    <t>At least ~5 names on roster</t>
  </si>
  <si>
    <t>5k Roster</t>
  </si>
  <si>
    <t>Roster printout</t>
  </si>
  <si>
    <t>Roster printed</t>
  </si>
  <si>
    <t>Half-Marathon Roster</t>
  </si>
  <si>
    <t>Req 1.1</t>
  </si>
  <si>
    <t>Tday/Reg Period</t>
  </si>
  <si>
    <t>Req 1.2</t>
  </si>
  <si>
    <t>Age on raceday</t>
  </si>
  <si>
    <t>Req 2.1 &amp; 2</t>
  </si>
  <si>
    <t>4 Rosters and fields</t>
  </si>
  <si>
    <t>Req 3.1, 2 &amp; 4.1</t>
  </si>
  <si>
    <t>Pricing &amp; Discounts</t>
  </si>
  <si>
    <t>Req 4.2</t>
  </si>
  <si>
    <t>Capacity</t>
  </si>
  <si>
    <t>Req 5.1</t>
  </si>
  <si>
    <t>Print</t>
  </si>
  <si>
    <t>Covered Tests</t>
  </si>
  <si>
    <t>Without Senior Discount</t>
  </si>
  <si>
    <t>With Senior Discount</t>
  </si>
  <si>
    <t>5k/half</t>
  </si>
  <si>
    <t>5k/full</t>
  </si>
  <si>
    <t>10k/half</t>
  </si>
  <si>
    <t>10k/full</t>
  </si>
  <si>
    <t>Base</t>
  </si>
  <si>
    <t>Purpose</t>
  </si>
  <si>
    <t>Test registration not open.</t>
  </si>
  <si>
    <t>Scott</t>
  </si>
  <si>
    <t>Denlinger</t>
  </si>
  <si>
    <t>67/67</t>
  </si>
  <si>
    <t>denlingers@hotmail.com</t>
  </si>
  <si>
    <t>5k and Half</t>
  </si>
  <si>
    <t>66 [(30 + 65) * 0.8 – 10]</t>
  </si>
  <si>
    <t>Test birthday day of first race, 5k and half rosters and pricing, with Super Early registration, bundle and senior discount</t>
  </si>
  <si>
    <t>John</t>
  </si>
  <si>
    <t>Smith</t>
  </si>
  <si>
    <t>26/27</t>
  </si>
  <si>
    <t>john.smith@email.com</t>
  </si>
  <si>
    <t>5k and Full</t>
  </si>
  <si>
    <t>96 [(40 + 80) * 0.8]</t>
  </si>
  <si>
    <t>Test birthday day of second raceday, 5k and full rosters and pricing, with early registration and bundle</t>
  </si>
  <si>
    <t>Sydney</t>
  </si>
  <si>
    <t>Walker</t>
  </si>
  <si>
    <t>26/26</t>
  </si>
  <si>
    <t>Sydneyw@yahoo.com</t>
  </si>
  <si>
    <t>10k and Half</t>
  </si>
  <si>
    <t>124 [(70 + 85) * 0.8]</t>
  </si>
  <si>
    <t>Test birthday after races, 10k and half rosters and pricing, with base registration and bundle</t>
  </si>
  <si>
    <t>10k and Full</t>
  </si>
  <si>
    <t>158.4 [(89 + 109) * 0.8]</t>
  </si>
  <si>
    <t>Connor</t>
  </si>
  <si>
    <t>james.connor@email.com</t>
  </si>
  <si>
    <t>65 (70 – 5)</t>
  </si>
  <si>
    <t>Test single race pricing with senior discount and early registration</t>
  </si>
  <si>
    <t>Sarah</t>
  </si>
  <si>
    <t>Jones</t>
  </si>
  <si>
    <t>sarah.jones@email.com</t>
  </si>
  <si>
    <t>Test single race pricing without senior discount and base registration</t>
  </si>
  <si>
    <t>Test registration closed.</t>
  </si>
  <si>
    <t>Preconditions</t>
  </si>
  <si>
    <t>Small script used to fill rosters with User1, User2 etc</t>
  </si>
  <si>
    <t>Kristi</t>
  </si>
  <si>
    <t>Saturday rosters full</t>
  </si>
  <si>
    <t>Herzog</t>
  </si>
  <si>
    <t>Hersogk@gmail.com</t>
  </si>
  <si>
    <t>Sunday rosters full</t>
  </si>
  <si>
    <t>None</t>
  </si>
  <si>
    <t>Test capacity per day</t>
  </si>
  <si>
    <t>All previous tests have been performed</t>
  </si>
  <si>
    <t>Test printing rosters</t>
  </si>
  <si>
    <t>10k Roster</t>
  </si>
  <si>
    <t>Full-Marathon Roster</t>
  </si>
  <si>
    <r>
      <t>Test 10k and full rosters and pricing with late registration and bundle, with 65</t>
    </r>
    <r>
      <rPr>
        <vertAlign val="superscript"/>
        <sz val="10"/>
        <color theme="1"/>
        <rFont val="Aptos Narrow"/>
        <family val="2"/>
        <charset val="1"/>
      </rPr>
      <t>th</t>
    </r>
    <r>
      <rPr>
        <sz val="10"/>
        <color theme="1"/>
        <rFont val="Aptos Narrow"/>
        <family val="2"/>
        <charset val="1"/>
      </rPr>
      <t xml:space="preserve"> birthday between registration and raceday</t>
    </r>
  </si>
  <si>
    <t>Print rosters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</si>
</sst>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FFFFFF"/>
      <name val="FreeSans"/>
      <family val="2"/>
      <charset val="1"/>
    </font>
    <font>
      <b/>
      <sz val="10"/>
      <color theme="1"/>
      <name val="Aptos Narrow"/>
      <family val="2"/>
      <charset val="1"/>
    </font>
    <font>
      <vertAlign val="superscript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000000"/>
        <bgColor rgb="FF003300"/>
      </patternFill>
    </fill>
    <fill>
      <patternFill patternType="solid">
        <fgColor rgb="FF81D41A"/>
        <bgColor rgb="FF969696"/>
      </patternFill>
    </fill>
    <fill>
      <patternFill patternType="solid">
        <fgColor rgb="FF3465A4"/>
        <bgColor rgb="FF3366FF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FF80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Sydneyw@yahoo.com" TargetMode="External"/><Relationship Id="rId13" Type="http://schemas.openxmlformats.org/officeDocument/2006/relationships/hyperlink" Target="mailto:james.connor@email.com" TargetMode="External"/><Relationship Id="rId18" Type="http://schemas.openxmlformats.org/officeDocument/2006/relationships/hyperlink" Target="mailto:sarah.jones@email.com" TargetMode="External"/><Relationship Id="rId3" Type="http://schemas.openxmlformats.org/officeDocument/2006/relationships/hyperlink" Target="mailto:denlingers@hotmail.com" TargetMode="External"/><Relationship Id="rId7" Type="http://schemas.openxmlformats.org/officeDocument/2006/relationships/hyperlink" Target="mailto:Sydneyw@yahoo.com" TargetMode="External"/><Relationship Id="rId12" Type="http://schemas.openxmlformats.org/officeDocument/2006/relationships/hyperlink" Target="mailto:olivia.davis@email.com" TargetMode="External"/><Relationship Id="rId17" Type="http://schemas.openxmlformats.org/officeDocument/2006/relationships/hyperlink" Target="mailto:sarah.jones@email.com" TargetMode="External"/><Relationship Id="rId2" Type="http://schemas.openxmlformats.org/officeDocument/2006/relationships/hyperlink" Target="mailto:denlingers@hotmail.com" TargetMode="External"/><Relationship Id="rId16" Type="http://schemas.openxmlformats.org/officeDocument/2006/relationships/hyperlink" Target="mailto:sarah.jones@email.com" TargetMode="External"/><Relationship Id="rId1" Type="http://schemas.openxmlformats.org/officeDocument/2006/relationships/hyperlink" Target="mailto:denlingers@hotmail.com" TargetMode="External"/><Relationship Id="rId6" Type="http://schemas.openxmlformats.org/officeDocument/2006/relationships/hyperlink" Target="mailto:john.smith@email.com" TargetMode="External"/><Relationship Id="rId11" Type="http://schemas.openxmlformats.org/officeDocument/2006/relationships/hyperlink" Target="mailto:olivia.davis@email.com" TargetMode="External"/><Relationship Id="rId5" Type="http://schemas.openxmlformats.org/officeDocument/2006/relationships/hyperlink" Target="mailto:john.smith@email.com" TargetMode="External"/><Relationship Id="rId15" Type="http://schemas.openxmlformats.org/officeDocument/2006/relationships/hyperlink" Target="mailto:james.connor@email.com" TargetMode="External"/><Relationship Id="rId10" Type="http://schemas.openxmlformats.org/officeDocument/2006/relationships/hyperlink" Target="mailto:olivia.davis@email.com" TargetMode="External"/><Relationship Id="rId19" Type="http://schemas.openxmlformats.org/officeDocument/2006/relationships/hyperlink" Target="mailto:Hersogk@gmail.com" TargetMode="External"/><Relationship Id="rId4" Type="http://schemas.openxmlformats.org/officeDocument/2006/relationships/hyperlink" Target="mailto:john.smith@email.com" TargetMode="External"/><Relationship Id="rId9" Type="http://schemas.openxmlformats.org/officeDocument/2006/relationships/hyperlink" Target="mailto:Sydneyw@yahoo.com" TargetMode="External"/><Relationship Id="rId14" Type="http://schemas.openxmlformats.org/officeDocument/2006/relationships/hyperlink" Target="mailto:james.conno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110" zoomScaleNormal="110" workbookViewId="0"/>
  </sheetViews>
  <sheetFormatPr defaultColWidth="8.6640625" defaultRowHeight="15" customHeight="1"/>
  <cols>
    <col min="1" max="1" width="14.88671875" customWidth="1"/>
    <col min="2" max="2" width="17.33203125" customWidth="1"/>
    <col min="3" max="3" width="22.109375" customWidth="1"/>
    <col min="4" max="4" width="21.109375" customWidth="1"/>
  </cols>
  <sheetData>
    <row r="1" spans="1:5" ht="1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ht="15" customHeight="1">
      <c r="A2" s="5">
        <v>1</v>
      </c>
      <c r="B2" s="5">
        <v>20250601</v>
      </c>
      <c r="C2" s="5" t="s">
        <v>5</v>
      </c>
      <c r="D2" s="5" t="s">
        <v>5</v>
      </c>
      <c r="E2" s="5" t="s">
        <v>6</v>
      </c>
    </row>
    <row r="3" spans="1:5" ht="15" customHeight="1">
      <c r="A3" s="5">
        <v>2</v>
      </c>
      <c r="B3" s="5">
        <v>20250930</v>
      </c>
      <c r="C3" s="5" t="s">
        <v>5</v>
      </c>
      <c r="D3" s="5" t="s">
        <v>5</v>
      </c>
      <c r="E3" s="5" t="s">
        <v>6</v>
      </c>
    </row>
    <row r="4" spans="1:5" ht="15" customHeight="1">
      <c r="A4" s="5">
        <v>3</v>
      </c>
      <c r="B4" s="5">
        <v>20251001</v>
      </c>
      <c r="C4" s="5" t="s">
        <v>7</v>
      </c>
      <c r="D4" s="5" t="s">
        <v>7</v>
      </c>
      <c r="E4" s="5" t="s">
        <v>6</v>
      </c>
    </row>
    <row r="5" spans="1:5" ht="15" customHeight="1">
      <c r="A5" s="5">
        <v>4</v>
      </c>
      <c r="B5" s="5">
        <v>20251031</v>
      </c>
      <c r="C5" s="5" t="s">
        <v>7</v>
      </c>
      <c r="D5" s="5" t="s">
        <v>7</v>
      </c>
      <c r="E5" s="5" t="s">
        <v>6</v>
      </c>
    </row>
    <row r="6" spans="1:5" ht="15" customHeight="1">
      <c r="A6" s="5">
        <v>5</v>
      </c>
      <c r="B6" s="5">
        <v>20251101</v>
      </c>
      <c r="C6" s="5" t="s">
        <v>8</v>
      </c>
      <c r="D6" s="5" t="s">
        <v>8</v>
      </c>
      <c r="E6" s="5" t="s">
        <v>6</v>
      </c>
    </row>
    <row r="7" spans="1:5" ht="15" customHeight="1">
      <c r="A7" s="5">
        <v>6</v>
      </c>
      <c r="B7" s="5">
        <v>20260228</v>
      </c>
      <c r="C7" s="5" t="s">
        <v>8</v>
      </c>
      <c r="D7" s="5" t="s">
        <v>8</v>
      </c>
      <c r="E7" s="5" t="s">
        <v>6</v>
      </c>
    </row>
    <row r="8" spans="1:5" ht="15" customHeight="1">
      <c r="A8" s="5">
        <v>7</v>
      </c>
      <c r="B8" s="5">
        <v>20260301</v>
      </c>
      <c r="C8" s="5" t="s">
        <v>9</v>
      </c>
      <c r="D8" s="5" t="s">
        <v>9</v>
      </c>
      <c r="E8" s="5" t="s">
        <v>6</v>
      </c>
    </row>
    <row r="9" spans="1:5" ht="15" customHeight="1">
      <c r="A9" s="5">
        <v>8</v>
      </c>
      <c r="B9" s="5">
        <v>20260401</v>
      </c>
      <c r="C9" s="5" t="s">
        <v>9</v>
      </c>
      <c r="D9" s="5" t="s">
        <v>9</v>
      </c>
      <c r="E9" s="5" t="s">
        <v>6</v>
      </c>
    </row>
    <row r="10" spans="1:5" ht="15" customHeight="1">
      <c r="A10" s="5">
        <v>9</v>
      </c>
      <c r="B10" s="5">
        <v>20260402</v>
      </c>
      <c r="C10" s="5" t="s">
        <v>10</v>
      </c>
      <c r="D10" s="5" t="s">
        <v>10</v>
      </c>
      <c r="E10" s="5" t="s">
        <v>6</v>
      </c>
    </row>
    <row r="11" spans="1:5" ht="15" customHeight="1">
      <c r="A11" s="5">
        <v>10</v>
      </c>
      <c r="B11" s="5">
        <v>20260430</v>
      </c>
      <c r="C11" s="5" t="s">
        <v>10</v>
      </c>
      <c r="D11" s="5" t="s">
        <v>10</v>
      </c>
      <c r="E11" s="5" t="s">
        <v>6</v>
      </c>
    </row>
    <row r="12" spans="1:5" ht="15" customHeight="1">
      <c r="A12" s="5">
        <v>11</v>
      </c>
      <c r="B12" s="5">
        <v>20260501</v>
      </c>
      <c r="C12" s="5" t="s">
        <v>11</v>
      </c>
      <c r="D12" s="5" t="s">
        <v>11</v>
      </c>
      <c r="E12" s="5" t="s">
        <v>6</v>
      </c>
    </row>
    <row r="13" spans="1:5" ht="15" customHeight="1">
      <c r="A13" s="5">
        <v>12</v>
      </c>
      <c r="B13" s="5">
        <v>20260531</v>
      </c>
      <c r="C13" s="5" t="s">
        <v>11</v>
      </c>
      <c r="D13" s="5" t="s">
        <v>11</v>
      </c>
      <c r="E13" s="5" t="s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zoomScale="110" zoomScaleNormal="110" workbookViewId="0"/>
  </sheetViews>
  <sheetFormatPr defaultColWidth="8.6640625" defaultRowHeight="15" customHeight="1"/>
  <cols>
    <col min="1" max="2" width="10.5546875" style="6" customWidth="1"/>
    <col min="3" max="4" width="39.5546875" style="6" customWidth="1"/>
    <col min="5" max="5" width="10.21875" style="6" customWidth="1"/>
    <col min="6" max="16384" width="8.6640625" style="6"/>
  </cols>
  <sheetData>
    <row r="1" spans="1:5" ht="1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</row>
    <row r="2" spans="1:5" ht="15" customHeight="1">
      <c r="A2" s="8">
        <v>1</v>
      </c>
      <c r="B2" s="8">
        <v>19980502</v>
      </c>
      <c r="C2" s="8" t="s">
        <v>12</v>
      </c>
      <c r="D2" s="8" t="s">
        <v>12</v>
      </c>
      <c r="E2" s="8" t="s">
        <v>6</v>
      </c>
    </row>
    <row r="3" spans="1:5" ht="15" customHeight="1">
      <c r="A3" s="8">
        <v>2</v>
      </c>
      <c r="B3" s="8">
        <v>19980503</v>
      </c>
      <c r="C3" s="8" t="s">
        <v>13</v>
      </c>
      <c r="D3" s="8" t="s">
        <v>13</v>
      </c>
      <c r="E3" s="8" t="s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zoomScale="110" zoomScaleNormal="110" workbookViewId="0">
      <selection sqref="A1:F20"/>
    </sheetView>
  </sheetViews>
  <sheetFormatPr defaultColWidth="10.44140625" defaultRowHeight="15" customHeight="1"/>
  <cols>
    <col min="1" max="1" width="5.5546875" style="9" bestFit="1" customWidth="1"/>
    <col min="2" max="2" width="29.109375" style="9" customWidth="1"/>
    <col min="3" max="3" width="9.21875" style="9" bestFit="1" customWidth="1"/>
    <col min="4" max="4" width="29.109375" style="9" bestFit="1" customWidth="1"/>
    <col min="5" max="5" width="9.21875" style="9" bestFit="1" customWidth="1"/>
    <col min="6" max="6" width="29.109375" style="9" bestFit="1" customWidth="1"/>
    <col min="7" max="7" width="9.21875" style="9" customWidth="1"/>
    <col min="8" max="8" width="28.109375" style="9" customWidth="1"/>
    <col min="9" max="16384" width="10.44140625" style="9"/>
  </cols>
  <sheetData>
    <row r="1" spans="1:6" ht="15" customHeight="1">
      <c r="A1" s="25" t="s">
        <v>27</v>
      </c>
      <c r="B1" s="25"/>
      <c r="C1" s="25"/>
      <c r="D1" s="25"/>
      <c r="E1" s="3" t="s">
        <v>4</v>
      </c>
      <c r="F1" s="9" t="s">
        <v>6</v>
      </c>
    </row>
    <row r="2" spans="1:6" ht="15" customHeight="1">
      <c r="A2" s="26" t="s">
        <v>1</v>
      </c>
      <c r="B2" s="9" t="s">
        <v>14</v>
      </c>
      <c r="C2" s="24" t="s">
        <v>2</v>
      </c>
      <c r="D2" s="9" t="s">
        <v>14</v>
      </c>
      <c r="E2" s="24" t="s">
        <v>3</v>
      </c>
      <c r="F2" s="9" t="s">
        <v>14</v>
      </c>
    </row>
    <row r="3" spans="1:6" ht="15" customHeight="1">
      <c r="A3" s="26"/>
      <c r="B3" s="9" t="s">
        <v>15</v>
      </c>
      <c r="C3" s="24"/>
      <c r="D3" s="9" t="s">
        <v>15</v>
      </c>
      <c r="E3" s="24"/>
      <c r="F3" s="9" t="s">
        <v>15</v>
      </c>
    </row>
    <row r="4" spans="1:6" ht="15" customHeight="1">
      <c r="A4" s="26"/>
      <c r="B4" s="9" t="s">
        <v>16</v>
      </c>
      <c r="C4" s="24"/>
      <c r="D4" s="10" t="s">
        <v>17</v>
      </c>
      <c r="E4" s="24"/>
      <c r="F4" s="10" t="s">
        <v>17</v>
      </c>
    </row>
    <row r="5" spans="1:6" ht="15" customHeight="1">
      <c r="A5" s="26"/>
      <c r="B5" s="9" t="s">
        <v>18</v>
      </c>
      <c r="C5" s="24"/>
      <c r="D5" s="9" t="s">
        <v>18</v>
      </c>
      <c r="E5" s="24"/>
      <c r="F5" s="9" t="s">
        <v>18</v>
      </c>
    </row>
    <row r="6" spans="1:6" ht="15" customHeight="1">
      <c r="A6" s="26"/>
      <c r="B6" s="9" t="s">
        <v>19</v>
      </c>
      <c r="C6" s="24"/>
      <c r="D6" s="9" t="s">
        <v>19</v>
      </c>
      <c r="E6" s="24"/>
      <c r="F6" s="9" t="s">
        <v>19</v>
      </c>
    </row>
    <row r="7" spans="1:6" ht="15" customHeight="1">
      <c r="A7" s="3"/>
      <c r="C7" s="2"/>
      <c r="E7" s="2"/>
    </row>
    <row r="8" spans="1:6" ht="15" customHeight="1">
      <c r="A8" s="25" t="s">
        <v>28</v>
      </c>
      <c r="B8" s="25"/>
      <c r="C8" s="25"/>
      <c r="D8" s="25"/>
      <c r="E8" s="3" t="s">
        <v>4</v>
      </c>
      <c r="F8" s="9" t="s">
        <v>6</v>
      </c>
    </row>
    <row r="9" spans="1:6" ht="15" customHeight="1">
      <c r="A9" s="26" t="s">
        <v>1</v>
      </c>
      <c r="B9" s="9" t="s">
        <v>14</v>
      </c>
      <c r="C9" s="24" t="s">
        <v>2</v>
      </c>
      <c r="D9" s="24" t="s">
        <v>20</v>
      </c>
      <c r="E9" s="24" t="s">
        <v>3</v>
      </c>
      <c r="F9" s="24" t="s">
        <v>20</v>
      </c>
    </row>
    <row r="10" spans="1:6" ht="15" customHeight="1">
      <c r="A10" s="26"/>
      <c r="B10" s="9" t="s">
        <v>15</v>
      </c>
      <c r="C10" s="24"/>
      <c r="D10" s="24"/>
      <c r="E10" s="24"/>
      <c r="F10" s="24"/>
    </row>
    <row r="11" spans="1:6" ht="15" customHeight="1">
      <c r="A11" s="26"/>
      <c r="B11" s="9" t="s">
        <v>16</v>
      </c>
      <c r="C11" s="24"/>
      <c r="D11" s="24"/>
      <c r="E11" s="24"/>
      <c r="F11" s="24"/>
    </row>
    <row r="12" spans="1:6" ht="15" customHeight="1">
      <c r="A12" s="26"/>
      <c r="B12" s="9" t="s">
        <v>18</v>
      </c>
      <c r="C12" s="24"/>
      <c r="D12" s="24"/>
      <c r="E12" s="24"/>
      <c r="F12" s="24"/>
    </row>
    <row r="13" spans="1:6" ht="15" customHeight="1">
      <c r="A13" s="26"/>
      <c r="B13" s="9" t="s">
        <v>19</v>
      </c>
      <c r="C13" s="24"/>
      <c r="D13" s="24"/>
      <c r="E13" s="24"/>
      <c r="F13" s="24"/>
    </row>
    <row r="14" spans="1:6" ht="15" customHeight="1">
      <c r="A14" s="3"/>
      <c r="C14" s="2"/>
      <c r="D14" s="2"/>
      <c r="E14" s="2"/>
      <c r="F14" s="2"/>
    </row>
    <row r="15" spans="1:6" ht="15" customHeight="1">
      <c r="A15" s="25" t="s">
        <v>29</v>
      </c>
      <c r="B15" s="25"/>
      <c r="C15" s="25"/>
      <c r="D15" s="25"/>
      <c r="E15" s="3" t="s">
        <v>4</v>
      </c>
      <c r="F15" s="9" t="s">
        <v>6</v>
      </c>
    </row>
    <row r="16" spans="1:6" ht="15" customHeight="1">
      <c r="A16" s="26" t="s">
        <v>1</v>
      </c>
      <c r="B16" s="9" t="s">
        <v>21</v>
      </c>
      <c r="C16" s="24" t="s">
        <v>2</v>
      </c>
      <c r="D16" s="9" t="s">
        <v>21</v>
      </c>
      <c r="E16" s="24" t="s">
        <v>3</v>
      </c>
      <c r="F16" s="9" t="s">
        <v>21</v>
      </c>
    </row>
    <row r="17" spans="1:6" ht="15" customHeight="1">
      <c r="A17" s="26"/>
      <c r="B17" s="9" t="s">
        <v>22</v>
      </c>
      <c r="C17" s="24"/>
      <c r="D17" s="9" t="s">
        <v>22</v>
      </c>
      <c r="E17" s="24"/>
      <c r="F17" s="9" t="s">
        <v>22</v>
      </c>
    </row>
    <row r="18" spans="1:6" ht="15" customHeight="1">
      <c r="A18" s="26"/>
      <c r="B18" s="9" t="s">
        <v>23</v>
      </c>
      <c r="C18" s="24"/>
      <c r="D18" s="10" t="s">
        <v>24</v>
      </c>
      <c r="E18" s="24"/>
      <c r="F18" s="10" t="s">
        <v>24</v>
      </c>
    </row>
    <row r="19" spans="1:6" ht="15" customHeight="1">
      <c r="A19" s="26"/>
      <c r="B19" s="9" t="s">
        <v>25</v>
      </c>
      <c r="C19" s="24"/>
      <c r="D19" s="9" t="s">
        <v>25</v>
      </c>
      <c r="E19" s="24"/>
      <c r="F19" s="9" t="s">
        <v>25</v>
      </c>
    </row>
    <row r="20" spans="1:6" ht="15" customHeight="1">
      <c r="A20" s="26"/>
      <c r="B20" s="9" t="s">
        <v>26</v>
      </c>
      <c r="C20" s="24"/>
      <c r="D20" s="9" t="s">
        <v>26</v>
      </c>
      <c r="E20" s="24"/>
      <c r="F20" s="9" t="s">
        <v>26</v>
      </c>
    </row>
  </sheetData>
  <mergeCells count="14">
    <mergeCell ref="E2:E6"/>
    <mergeCell ref="E9:E13"/>
    <mergeCell ref="F9:F13"/>
    <mergeCell ref="E16:E20"/>
    <mergeCell ref="A1:D1"/>
    <mergeCell ref="A8:D8"/>
    <mergeCell ref="A15:D15"/>
    <mergeCell ref="A2:A6"/>
    <mergeCell ref="A9:A13"/>
    <mergeCell ref="A16:A20"/>
    <mergeCell ref="C2:C6"/>
    <mergeCell ref="C9:C13"/>
    <mergeCell ref="D9:D13"/>
    <mergeCell ref="C16:C20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48544"/>
  <sheetViews>
    <sheetView zoomScale="110" zoomScaleNormal="110" workbookViewId="0">
      <selection sqref="A1:F35"/>
    </sheetView>
  </sheetViews>
  <sheetFormatPr defaultColWidth="10.44140625" defaultRowHeight="13.5" customHeight="1"/>
  <cols>
    <col min="1" max="1" width="5.88671875" bestFit="1" customWidth="1"/>
    <col min="2" max="2" width="29.109375" bestFit="1" customWidth="1"/>
    <col min="3" max="3" width="16.5546875" bestFit="1" customWidth="1"/>
    <col min="4" max="4" width="29.109375" bestFit="1" customWidth="1"/>
    <col min="5" max="5" width="13.88671875" bestFit="1" customWidth="1"/>
    <col min="6" max="6" width="29.109375" bestFit="1" customWidth="1"/>
    <col min="7" max="7" width="9.5546875" customWidth="1"/>
    <col min="8" max="8" width="29.109375" customWidth="1"/>
    <col min="11" max="11" width="28.109375" customWidth="1"/>
    <col min="14" max="14" width="28.109375" customWidth="1"/>
  </cols>
  <sheetData>
    <row r="1" spans="1:6" ht="13.5" customHeight="1">
      <c r="A1" s="25" t="s">
        <v>27</v>
      </c>
      <c r="B1" s="25"/>
      <c r="C1" s="25"/>
      <c r="D1" s="25"/>
      <c r="E1" s="1" t="s">
        <v>4</v>
      </c>
      <c r="F1" s="9" t="s">
        <v>6</v>
      </c>
    </row>
    <row r="2" spans="1:6" ht="13.5" customHeight="1">
      <c r="A2" s="25" t="s">
        <v>1</v>
      </c>
      <c r="B2" s="9" t="s">
        <v>14</v>
      </c>
      <c r="C2" s="27" t="s">
        <v>2</v>
      </c>
      <c r="D2" s="9" t="s">
        <v>14</v>
      </c>
      <c r="E2" s="27" t="s">
        <v>3</v>
      </c>
      <c r="F2" s="9" t="s">
        <v>14</v>
      </c>
    </row>
    <row r="3" spans="1:6" ht="13.5" customHeight="1">
      <c r="A3" s="25"/>
      <c r="B3" s="9" t="s">
        <v>15</v>
      </c>
      <c r="C3" s="27"/>
      <c r="D3" s="9" t="s">
        <v>15</v>
      </c>
      <c r="E3" s="27"/>
      <c r="F3" s="9" t="s">
        <v>15</v>
      </c>
    </row>
    <row r="4" spans="1:6" ht="13.5" customHeight="1">
      <c r="A4" s="25"/>
      <c r="B4" s="9" t="s">
        <v>16</v>
      </c>
      <c r="C4" s="27"/>
      <c r="D4" s="10" t="s">
        <v>17</v>
      </c>
      <c r="E4" s="27"/>
      <c r="F4" s="10" t="s">
        <v>17</v>
      </c>
    </row>
    <row r="5" spans="1:6" ht="13.5" customHeight="1">
      <c r="A5" s="25"/>
      <c r="B5" s="9" t="s">
        <v>18</v>
      </c>
      <c r="C5" s="27"/>
      <c r="D5" s="9" t="s">
        <v>18</v>
      </c>
      <c r="E5" s="27"/>
      <c r="F5" s="9" t="s">
        <v>18</v>
      </c>
    </row>
    <row r="6" spans="1:6" ht="15.6">
      <c r="A6" s="25"/>
      <c r="B6" s="9" t="s">
        <v>19</v>
      </c>
      <c r="C6" s="27"/>
      <c r="D6" s="9" t="s">
        <v>19</v>
      </c>
      <c r="E6" s="27"/>
      <c r="F6" s="9" t="s">
        <v>19</v>
      </c>
    </row>
    <row r="7" spans="1:6" ht="13.5" customHeight="1">
      <c r="A7" s="25"/>
      <c r="B7" t="s">
        <v>30</v>
      </c>
      <c r="C7" s="27"/>
      <c r="D7" t="s">
        <v>30</v>
      </c>
      <c r="E7" s="27"/>
      <c r="F7" t="s">
        <v>30</v>
      </c>
    </row>
    <row r="8" spans="1:6" ht="13.5" customHeight="1">
      <c r="A8" s="25" t="s">
        <v>28</v>
      </c>
      <c r="B8" s="25"/>
      <c r="C8" s="25"/>
      <c r="D8" s="25"/>
      <c r="E8" s="1" t="s">
        <v>4</v>
      </c>
      <c r="F8" s="9" t="s">
        <v>6</v>
      </c>
    </row>
    <row r="9" spans="1:6" ht="13.5" customHeight="1">
      <c r="A9" s="25" t="s">
        <v>1</v>
      </c>
      <c r="B9" s="9" t="s">
        <v>14</v>
      </c>
      <c r="C9" s="27" t="s">
        <v>2</v>
      </c>
      <c r="D9" s="24" t="s">
        <v>20</v>
      </c>
      <c r="E9" s="27" t="s">
        <v>3</v>
      </c>
      <c r="F9" s="24" t="s">
        <v>20</v>
      </c>
    </row>
    <row r="10" spans="1:6" ht="13.5" customHeight="1">
      <c r="A10" s="25"/>
      <c r="B10" s="9" t="s">
        <v>15</v>
      </c>
      <c r="C10" s="27"/>
      <c r="D10" s="24"/>
      <c r="E10" s="27"/>
      <c r="F10" s="24"/>
    </row>
    <row r="11" spans="1:6" ht="13.5" customHeight="1">
      <c r="A11" s="25"/>
      <c r="B11" s="9" t="s">
        <v>16</v>
      </c>
      <c r="C11" s="27"/>
      <c r="D11" s="24"/>
      <c r="E11" s="27"/>
      <c r="F11" s="24"/>
    </row>
    <row r="12" spans="1:6" ht="13.5" customHeight="1">
      <c r="A12" s="25"/>
      <c r="B12" s="9" t="s">
        <v>18</v>
      </c>
      <c r="C12" s="27"/>
      <c r="D12" s="24"/>
      <c r="E12" s="27"/>
      <c r="F12" s="24"/>
    </row>
    <row r="13" spans="1:6" ht="13.5" customHeight="1">
      <c r="A13" s="25"/>
      <c r="B13" s="9" t="s">
        <v>19</v>
      </c>
      <c r="C13" s="27"/>
      <c r="D13" s="24"/>
      <c r="E13" s="27"/>
      <c r="F13" s="24"/>
    </row>
    <row r="14" spans="1:6" ht="13.5" customHeight="1">
      <c r="A14" s="25"/>
      <c r="B14" t="s">
        <v>30</v>
      </c>
      <c r="C14" s="27"/>
      <c r="D14" s="24"/>
      <c r="E14" s="27"/>
      <c r="F14" s="24"/>
    </row>
    <row r="15" spans="1:6" ht="13.5" customHeight="1">
      <c r="A15" s="25" t="s">
        <v>29</v>
      </c>
      <c r="B15" s="25"/>
      <c r="C15" s="25"/>
      <c r="D15" s="25"/>
      <c r="E15" s="1" t="s">
        <v>4</v>
      </c>
      <c r="F15" s="9" t="s">
        <v>6</v>
      </c>
    </row>
    <row r="16" spans="1:6" ht="13.5" customHeight="1">
      <c r="A16" s="25" t="s">
        <v>1</v>
      </c>
      <c r="B16" s="9" t="s">
        <v>21</v>
      </c>
      <c r="C16" s="27" t="s">
        <v>2</v>
      </c>
      <c r="D16" s="9" t="s">
        <v>21</v>
      </c>
      <c r="E16" s="27" t="s">
        <v>3</v>
      </c>
      <c r="F16" s="9" t="s">
        <v>21</v>
      </c>
    </row>
    <row r="17" spans="1:6" ht="13.5" customHeight="1">
      <c r="A17" s="25"/>
      <c r="B17" s="9" t="s">
        <v>22</v>
      </c>
      <c r="C17" s="27"/>
      <c r="D17" s="9" t="s">
        <v>22</v>
      </c>
      <c r="E17" s="27"/>
      <c r="F17" s="9" t="s">
        <v>22</v>
      </c>
    </row>
    <row r="18" spans="1:6" ht="13.5" customHeight="1">
      <c r="A18" s="25"/>
      <c r="B18" s="9" t="s">
        <v>23</v>
      </c>
      <c r="C18" s="27"/>
      <c r="D18" s="10" t="s">
        <v>24</v>
      </c>
      <c r="E18" s="27"/>
      <c r="F18" s="10" t="s">
        <v>24</v>
      </c>
    </row>
    <row r="19" spans="1:6" ht="13.5" customHeight="1">
      <c r="A19" s="25"/>
      <c r="B19" s="9" t="s">
        <v>25</v>
      </c>
      <c r="C19" s="27"/>
      <c r="D19" s="9" t="s">
        <v>25</v>
      </c>
      <c r="E19" s="27"/>
      <c r="F19" s="9" t="s">
        <v>25</v>
      </c>
    </row>
    <row r="20" spans="1:6" ht="13.5" customHeight="1">
      <c r="A20" s="25"/>
      <c r="B20" s="9" t="s">
        <v>26</v>
      </c>
      <c r="C20" s="27"/>
      <c r="D20" s="9" t="s">
        <v>26</v>
      </c>
      <c r="E20" s="27"/>
      <c r="F20" s="9" t="s">
        <v>26</v>
      </c>
    </row>
    <row r="21" spans="1:6" ht="13.5" customHeight="1">
      <c r="A21" s="25"/>
      <c r="B21" t="s">
        <v>31</v>
      </c>
      <c r="C21" s="27"/>
      <c r="D21" t="s">
        <v>31</v>
      </c>
      <c r="E21" s="27"/>
      <c r="F21" t="s">
        <v>31</v>
      </c>
    </row>
    <row r="22" spans="1:6" ht="13.5" customHeight="1">
      <c r="A22" s="25" t="s">
        <v>46</v>
      </c>
      <c r="B22" s="25"/>
      <c r="C22" s="25"/>
      <c r="D22" s="25"/>
      <c r="E22" s="1" t="s">
        <v>4</v>
      </c>
      <c r="F22" s="9" t="s">
        <v>6</v>
      </c>
    </row>
    <row r="23" spans="1:6" ht="13.5" customHeight="1">
      <c r="A23" s="25" t="s">
        <v>1</v>
      </c>
      <c r="B23" s="11" t="s">
        <v>32</v>
      </c>
      <c r="C23" s="27" t="s">
        <v>2</v>
      </c>
      <c r="D23" s="11" t="s">
        <v>32</v>
      </c>
      <c r="E23" s="27" t="s">
        <v>3</v>
      </c>
      <c r="F23" s="11" t="s">
        <v>32</v>
      </c>
    </row>
    <row r="24" spans="1:6" ht="13.5" customHeight="1">
      <c r="A24" s="25"/>
      <c r="B24" s="11" t="s">
        <v>33</v>
      </c>
      <c r="C24" s="27"/>
      <c r="D24" s="11" t="s">
        <v>33</v>
      </c>
      <c r="E24" s="27"/>
      <c r="F24" s="11" t="s">
        <v>33</v>
      </c>
    </row>
    <row r="25" spans="1:6" ht="13.5" customHeight="1">
      <c r="A25" s="25"/>
      <c r="B25" s="12" t="s">
        <v>34</v>
      </c>
      <c r="C25" s="27"/>
      <c r="D25" s="12" t="s">
        <v>35</v>
      </c>
      <c r="E25" s="27"/>
      <c r="F25" s="12" t="s">
        <v>35</v>
      </c>
    </row>
    <row r="26" spans="1:6" ht="13.5" customHeight="1">
      <c r="A26" s="25"/>
      <c r="B26" s="11" t="s">
        <v>36</v>
      </c>
      <c r="C26" s="27"/>
      <c r="D26" s="11" t="s">
        <v>36</v>
      </c>
      <c r="E26" s="27"/>
      <c r="F26" s="11" t="s">
        <v>36</v>
      </c>
    </row>
    <row r="27" spans="1:6" ht="13.5" customHeight="1">
      <c r="A27" s="25"/>
      <c r="B27" s="11" t="s">
        <v>37</v>
      </c>
      <c r="C27" s="27"/>
      <c r="D27" s="11" t="s">
        <v>37</v>
      </c>
      <c r="E27" s="27"/>
      <c r="F27" s="11" t="s">
        <v>37</v>
      </c>
    </row>
    <row r="28" spans="1:6" ht="13.5" customHeight="1">
      <c r="A28" s="25"/>
      <c r="B28" t="s">
        <v>38</v>
      </c>
      <c r="C28" s="27"/>
      <c r="D28" t="s">
        <v>38</v>
      </c>
      <c r="E28" s="27"/>
      <c r="F28" t="s">
        <v>38</v>
      </c>
    </row>
    <row r="29" spans="1:6" ht="13.5" customHeight="1">
      <c r="A29" s="25" t="s">
        <v>47</v>
      </c>
      <c r="B29" s="25"/>
      <c r="C29" s="25"/>
      <c r="D29" s="25"/>
      <c r="E29" s="1" t="s">
        <v>4</v>
      </c>
      <c r="F29" s="9" t="s">
        <v>6</v>
      </c>
    </row>
    <row r="30" spans="1:6" ht="13.5" customHeight="1">
      <c r="A30" s="25" t="s">
        <v>1</v>
      </c>
      <c r="B30" s="11" t="s">
        <v>39</v>
      </c>
      <c r="C30" s="27" t="s">
        <v>2</v>
      </c>
      <c r="D30" s="11" t="s">
        <v>39</v>
      </c>
      <c r="E30" s="27" t="s">
        <v>3</v>
      </c>
      <c r="F30" s="11" t="s">
        <v>39</v>
      </c>
    </row>
    <row r="31" spans="1:6" ht="13.5" customHeight="1">
      <c r="A31" s="25"/>
      <c r="B31" s="11" t="s">
        <v>40</v>
      </c>
      <c r="C31" s="27"/>
      <c r="D31" s="11" t="s">
        <v>40</v>
      </c>
      <c r="E31" s="27"/>
      <c r="F31" s="11" t="s">
        <v>40</v>
      </c>
    </row>
    <row r="32" spans="1:6" ht="13.5" customHeight="1">
      <c r="A32" s="25"/>
      <c r="B32" s="12" t="s">
        <v>41</v>
      </c>
      <c r="C32" s="27"/>
      <c r="D32" s="12" t="s">
        <v>42</v>
      </c>
      <c r="E32" s="27"/>
      <c r="F32" s="12" t="s">
        <v>42</v>
      </c>
    </row>
    <row r="33" spans="1:6" ht="13.5" customHeight="1">
      <c r="A33" s="25"/>
      <c r="B33" s="11" t="s">
        <v>43</v>
      </c>
      <c r="C33" s="27"/>
      <c r="D33" s="11" t="s">
        <v>43</v>
      </c>
      <c r="E33" s="27"/>
      <c r="F33" s="11" t="s">
        <v>43</v>
      </c>
    </row>
    <row r="34" spans="1:6" ht="13.5" customHeight="1">
      <c r="A34" s="25"/>
      <c r="B34" s="11" t="s">
        <v>44</v>
      </c>
      <c r="C34" s="27"/>
      <c r="D34" s="11" t="s">
        <v>44</v>
      </c>
      <c r="E34" s="27"/>
      <c r="F34" s="11" t="s">
        <v>44</v>
      </c>
    </row>
    <row r="35" spans="1:6" ht="13.5" customHeight="1">
      <c r="A35" s="25"/>
      <c r="B35" t="s">
        <v>45</v>
      </c>
      <c r="C35" s="27"/>
      <c r="D35" t="s">
        <v>45</v>
      </c>
      <c r="E35" s="27"/>
      <c r="F35" t="s">
        <v>45</v>
      </c>
    </row>
    <row r="1048544" ht="14.4"/>
  </sheetData>
  <mergeCells count="22">
    <mergeCell ref="A1:D1"/>
    <mergeCell ref="A2:A7"/>
    <mergeCell ref="A9:A14"/>
    <mergeCell ref="A16:A21"/>
    <mergeCell ref="A23:A28"/>
    <mergeCell ref="A30:A35"/>
    <mergeCell ref="C30:C35"/>
    <mergeCell ref="E2:E7"/>
    <mergeCell ref="E9:E14"/>
    <mergeCell ref="F9:F14"/>
    <mergeCell ref="E16:E21"/>
    <mergeCell ref="E23:E28"/>
    <mergeCell ref="E30:E35"/>
    <mergeCell ref="A8:D8"/>
    <mergeCell ref="A15:D15"/>
    <mergeCell ref="A22:D22"/>
    <mergeCell ref="A29:D29"/>
    <mergeCell ref="C2:C7"/>
    <mergeCell ref="C9:C14"/>
    <mergeCell ref="D9:D14"/>
    <mergeCell ref="C16:C21"/>
    <mergeCell ref="C23:C28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I112"/>
  <sheetViews>
    <sheetView topLeftCell="A59" zoomScale="110" zoomScaleNormal="110" workbookViewId="0">
      <selection activeCell="B110" sqref="B110"/>
    </sheetView>
  </sheetViews>
  <sheetFormatPr defaultColWidth="10.44140625" defaultRowHeight="15" customHeight="1"/>
  <cols>
    <col min="1" max="1" width="17.88671875" style="3" customWidth="1"/>
    <col min="2" max="2" width="11.88671875" style="3" customWidth="1"/>
    <col min="3" max="5" width="10.44140625" style="3"/>
    <col min="6" max="6" width="12" style="3" customWidth="1"/>
    <col min="7" max="7" width="11.33203125" style="3" customWidth="1"/>
    <col min="8" max="8" width="11.77734375" style="3" customWidth="1"/>
    <col min="9" max="16384" width="10.44140625" style="3"/>
  </cols>
  <sheetData>
    <row r="2" spans="1:2" ht="15" customHeight="1">
      <c r="A2" s="25" t="s">
        <v>27</v>
      </c>
      <c r="B2" s="25"/>
    </row>
    <row r="3" spans="1:2" ht="15" customHeight="1">
      <c r="A3" s="25" t="s">
        <v>1</v>
      </c>
      <c r="B3" s="3">
        <v>20251030</v>
      </c>
    </row>
    <row r="4" spans="1:2" ht="15" customHeight="1">
      <c r="A4" s="25"/>
      <c r="B4" s="3" t="s">
        <v>48</v>
      </c>
    </row>
    <row r="5" spans="1:2" ht="15" customHeight="1">
      <c r="A5" s="1" t="s">
        <v>2</v>
      </c>
      <c r="B5" s="3">
        <v>30</v>
      </c>
    </row>
    <row r="6" spans="1:2" ht="15" customHeight="1">
      <c r="A6" s="1" t="s">
        <v>3</v>
      </c>
      <c r="B6" s="3">
        <v>30</v>
      </c>
    </row>
    <row r="7" spans="1:2" ht="15" customHeight="1">
      <c r="A7" s="1" t="s">
        <v>4</v>
      </c>
      <c r="B7" s="3" t="s">
        <v>6</v>
      </c>
    </row>
    <row r="9" spans="1:2" ht="15" customHeight="1">
      <c r="A9" s="25" t="s">
        <v>28</v>
      </c>
      <c r="B9" s="25"/>
    </row>
    <row r="10" spans="1:2" ht="15" customHeight="1">
      <c r="A10" s="25" t="s">
        <v>1</v>
      </c>
      <c r="B10" s="3">
        <v>20251030</v>
      </c>
    </row>
    <row r="11" spans="1:2" ht="15" customHeight="1">
      <c r="A11" s="25"/>
      <c r="B11" s="3" t="s">
        <v>49</v>
      </c>
    </row>
    <row r="12" spans="1:2" ht="15" customHeight="1">
      <c r="A12" s="1" t="s">
        <v>2</v>
      </c>
      <c r="B12" s="3">
        <v>50</v>
      </c>
    </row>
    <row r="13" spans="1:2" ht="15" customHeight="1">
      <c r="A13" s="1" t="s">
        <v>3</v>
      </c>
      <c r="B13" s="3">
        <v>50</v>
      </c>
    </row>
    <row r="14" spans="1:2" ht="15" customHeight="1">
      <c r="A14" s="1" t="s">
        <v>4</v>
      </c>
      <c r="B14" s="3" t="s">
        <v>6</v>
      </c>
    </row>
    <row r="16" spans="1:2" ht="15" customHeight="1">
      <c r="A16" s="25" t="s">
        <v>29</v>
      </c>
      <c r="B16" s="25"/>
    </row>
    <row r="17" spans="1:9" ht="15" customHeight="1">
      <c r="A17" s="25" t="s">
        <v>1</v>
      </c>
      <c r="B17" s="3">
        <v>20251030</v>
      </c>
    </row>
    <row r="18" spans="1:9" ht="15" customHeight="1">
      <c r="A18" s="25"/>
      <c r="B18" s="3" t="s">
        <v>50</v>
      </c>
    </row>
    <row r="19" spans="1:9" ht="15" customHeight="1">
      <c r="A19" s="1" t="s">
        <v>2</v>
      </c>
      <c r="B19" s="3">
        <v>65</v>
      </c>
      <c r="E19"/>
      <c r="F19"/>
      <c r="G19"/>
      <c r="H19"/>
      <c r="I19"/>
    </row>
    <row r="20" spans="1:9" ht="15" customHeight="1">
      <c r="A20" s="1" t="s">
        <v>3</v>
      </c>
      <c r="B20" s="3">
        <v>65</v>
      </c>
      <c r="E20"/>
      <c r="F20"/>
      <c r="G20"/>
      <c r="H20"/>
      <c r="I20"/>
    </row>
    <row r="21" spans="1:9" ht="15" customHeight="1">
      <c r="A21" s="1" t="s">
        <v>4</v>
      </c>
      <c r="B21" s="3" t="s">
        <v>6</v>
      </c>
      <c r="E21"/>
      <c r="F21"/>
      <c r="G21"/>
      <c r="H21"/>
      <c r="I21"/>
    </row>
    <row r="22" spans="1:9" ht="15" customHeight="1">
      <c r="E22"/>
      <c r="F22"/>
      <c r="G22"/>
      <c r="H22"/>
      <c r="I22"/>
    </row>
    <row r="23" spans="1:9" ht="15" customHeight="1">
      <c r="A23" s="25" t="s">
        <v>46</v>
      </c>
      <c r="B23" s="25"/>
      <c r="E23"/>
      <c r="F23"/>
      <c r="G23"/>
      <c r="H23"/>
      <c r="I23"/>
    </row>
    <row r="24" spans="1:9" ht="15" customHeight="1">
      <c r="A24" s="25" t="s">
        <v>1</v>
      </c>
      <c r="B24" s="3">
        <v>20251030</v>
      </c>
    </row>
    <row r="25" spans="1:9" ht="15" customHeight="1">
      <c r="A25" s="25"/>
      <c r="B25" s="3" t="s">
        <v>51</v>
      </c>
    </row>
    <row r="26" spans="1:9" ht="15" customHeight="1">
      <c r="A26" s="1" t="s">
        <v>2</v>
      </c>
      <c r="B26" s="3">
        <v>75</v>
      </c>
    </row>
    <row r="27" spans="1:9" ht="15" customHeight="1">
      <c r="A27" s="1" t="s">
        <v>3</v>
      </c>
      <c r="B27" s="3">
        <v>75</v>
      </c>
    </row>
    <row r="28" spans="1:9" ht="15" customHeight="1">
      <c r="A28" s="1" t="s">
        <v>4</v>
      </c>
      <c r="B28" s="3" t="s">
        <v>6</v>
      </c>
    </row>
    <row r="30" spans="1:9" ht="15" customHeight="1">
      <c r="A30" s="25" t="s">
        <v>47</v>
      </c>
      <c r="B30" s="25"/>
    </row>
    <row r="31" spans="1:9" ht="15" customHeight="1">
      <c r="A31" s="25" t="s">
        <v>1</v>
      </c>
      <c r="B31" s="3">
        <v>20251108</v>
      </c>
    </row>
    <row r="32" spans="1:9" ht="15" customHeight="1">
      <c r="A32" s="25"/>
      <c r="B32" s="3" t="s">
        <v>48</v>
      </c>
    </row>
    <row r="33" spans="1:2" ht="15" customHeight="1">
      <c r="A33" s="1" t="s">
        <v>2</v>
      </c>
      <c r="B33" s="3">
        <v>40</v>
      </c>
    </row>
    <row r="34" spans="1:2" ht="15" customHeight="1">
      <c r="A34" s="1" t="s">
        <v>3</v>
      </c>
      <c r="B34" s="3">
        <v>40</v>
      </c>
    </row>
    <row r="35" spans="1:2" ht="15" customHeight="1">
      <c r="A35" s="1" t="s">
        <v>4</v>
      </c>
      <c r="B35" s="3" t="s">
        <v>6</v>
      </c>
    </row>
    <row r="37" spans="1:2" ht="15" customHeight="1">
      <c r="A37" s="25" t="s">
        <v>52</v>
      </c>
      <c r="B37" s="25"/>
    </row>
    <row r="38" spans="1:2" ht="15" customHeight="1">
      <c r="A38" s="25" t="s">
        <v>1</v>
      </c>
      <c r="B38" s="3">
        <v>20251108</v>
      </c>
    </row>
    <row r="39" spans="1:2" ht="15" customHeight="1">
      <c r="A39" s="25"/>
      <c r="B39" s="3" t="s">
        <v>53</v>
      </c>
    </row>
    <row r="40" spans="1:2" ht="15" customHeight="1">
      <c r="A40" s="1" t="s">
        <v>2</v>
      </c>
      <c r="B40" s="3">
        <v>55</v>
      </c>
    </row>
    <row r="41" spans="1:2" ht="15" customHeight="1">
      <c r="A41" s="1" t="s">
        <v>3</v>
      </c>
      <c r="B41" s="3">
        <v>55</v>
      </c>
    </row>
    <row r="42" spans="1:2" ht="15" customHeight="1">
      <c r="A42" s="1" t="s">
        <v>4</v>
      </c>
      <c r="B42" s="3" t="s">
        <v>6</v>
      </c>
    </row>
    <row r="44" spans="1:2" ht="15" customHeight="1">
      <c r="A44" s="25" t="s">
        <v>54</v>
      </c>
      <c r="B44" s="25"/>
    </row>
    <row r="45" spans="1:2" ht="15" customHeight="1">
      <c r="A45" s="25" t="s">
        <v>1</v>
      </c>
      <c r="B45" s="3">
        <v>20251108</v>
      </c>
    </row>
    <row r="46" spans="1:2" ht="15" customHeight="1">
      <c r="A46" s="25"/>
      <c r="B46" s="3" t="s">
        <v>50</v>
      </c>
    </row>
    <row r="47" spans="1:2" ht="15" customHeight="1">
      <c r="A47" s="1" t="s">
        <v>2</v>
      </c>
      <c r="B47" s="3">
        <v>70</v>
      </c>
    </row>
    <row r="48" spans="1:2" ht="15" customHeight="1">
      <c r="A48" s="1" t="s">
        <v>3</v>
      </c>
      <c r="B48" s="3">
        <v>70</v>
      </c>
    </row>
    <row r="49" spans="1:2" ht="15" customHeight="1">
      <c r="A49" s="1" t="s">
        <v>4</v>
      </c>
      <c r="B49" s="3" t="s">
        <v>6</v>
      </c>
    </row>
    <row r="51" spans="1:2" ht="15" customHeight="1">
      <c r="A51" s="25" t="s">
        <v>55</v>
      </c>
      <c r="B51" s="25"/>
    </row>
    <row r="52" spans="1:2" ht="15" customHeight="1">
      <c r="A52" s="25" t="s">
        <v>1</v>
      </c>
      <c r="B52" s="3">
        <v>20251108</v>
      </c>
    </row>
    <row r="53" spans="1:2" ht="15" customHeight="1">
      <c r="A53" s="25"/>
      <c r="B53" s="3" t="s">
        <v>51</v>
      </c>
    </row>
    <row r="54" spans="1:2" ht="15" customHeight="1">
      <c r="A54" s="1" t="s">
        <v>2</v>
      </c>
      <c r="B54" s="3">
        <v>80</v>
      </c>
    </row>
    <row r="55" spans="1:2" ht="15" customHeight="1">
      <c r="A55" s="1" t="s">
        <v>3</v>
      </c>
      <c r="B55" s="3">
        <v>80</v>
      </c>
    </row>
    <row r="56" spans="1:2" ht="15" customHeight="1">
      <c r="A56" s="1" t="s">
        <v>4</v>
      </c>
      <c r="B56" s="3" t="s">
        <v>6</v>
      </c>
    </row>
    <row r="58" spans="1:2" ht="15" customHeight="1">
      <c r="A58" s="25" t="s">
        <v>56</v>
      </c>
      <c r="B58" s="25"/>
    </row>
    <row r="59" spans="1:2" ht="15" customHeight="1">
      <c r="A59" s="25" t="s">
        <v>1</v>
      </c>
      <c r="B59" s="3">
        <v>20260312</v>
      </c>
    </row>
    <row r="60" spans="1:2" ht="15" customHeight="1">
      <c r="A60" s="25"/>
      <c r="B60" s="3" t="s">
        <v>48</v>
      </c>
    </row>
    <row r="61" spans="1:2" ht="15" customHeight="1">
      <c r="A61" s="1" t="s">
        <v>2</v>
      </c>
      <c r="B61" s="3">
        <v>50</v>
      </c>
    </row>
    <row r="62" spans="1:2" ht="15" customHeight="1">
      <c r="A62" s="1" t="s">
        <v>3</v>
      </c>
      <c r="B62" s="3">
        <v>50</v>
      </c>
    </row>
    <row r="63" spans="1:2" ht="15" customHeight="1">
      <c r="A63" s="1" t="s">
        <v>4</v>
      </c>
      <c r="B63" s="3" t="s">
        <v>6</v>
      </c>
    </row>
    <row r="65" spans="1:2" ht="15" customHeight="1">
      <c r="A65" s="25" t="s">
        <v>57</v>
      </c>
      <c r="B65" s="25"/>
    </row>
    <row r="66" spans="1:2" ht="15" customHeight="1">
      <c r="A66" s="25" t="s">
        <v>1</v>
      </c>
      <c r="B66" s="3">
        <v>20260312</v>
      </c>
    </row>
    <row r="67" spans="1:2" ht="15" customHeight="1">
      <c r="A67" s="25"/>
      <c r="B67" s="3" t="s">
        <v>53</v>
      </c>
    </row>
    <row r="68" spans="1:2" ht="15" customHeight="1">
      <c r="A68" s="1" t="s">
        <v>2</v>
      </c>
      <c r="B68" s="3">
        <v>70</v>
      </c>
    </row>
    <row r="69" spans="1:2" ht="15" customHeight="1">
      <c r="A69" s="1" t="s">
        <v>3</v>
      </c>
      <c r="B69" s="3">
        <v>70</v>
      </c>
    </row>
    <row r="70" spans="1:2" ht="15" customHeight="1">
      <c r="A70" s="1" t="s">
        <v>4</v>
      </c>
      <c r="B70" s="3" t="s">
        <v>6</v>
      </c>
    </row>
    <row r="72" spans="1:2" ht="15" customHeight="1">
      <c r="A72" s="25" t="s">
        <v>58</v>
      </c>
      <c r="B72" s="25"/>
    </row>
    <row r="73" spans="1:2" ht="15" customHeight="1">
      <c r="A73" s="25" t="s">
        <v>1</v>
      </c>
      <c r="B73" s="3">
        <v>20260312</v>
      </c>
    </row>
    <row r="74" spans="1:2" ht="15" customHeight="1">
      <c r="A74" s="25"/>
      <c r="B74" s="3" t="s">
        <v>50</v>
      </c>
    </row>
    <row r="75" spans="1:2" ht="15" customHeight="1">
      <c r="A75" s="1" t="s">
        <v>2</v>
      </c>
      <c r="B75" s="3">
        <v>85</v>
      </c>
    </row>
    <row r="76" spans="1:2" ht="15" customHeight="1">
      <c r="A76" s="1" t="s">
        <v>3</v>
      </c>
      <c r="B76" s="3">
        <v>85</v>
      </c>
    </row>
    <row r="77" spans="1:2" ht="15" customHeight="1">
      <c r="A77" s="1" t="s">
        <v>4</v>
      </c>
      <c r="B77" s="3" t="s">
        <v>6</v>
      </c>
    </row>
    <row r="79" spans="1:2" ht="15" customHeight="1">
      <c r="A79" s="25" t="s">
        <v>59</v>
      </c>
      <c r="B79" s="25"/>
    </row>
    <row r="80" spans="1:2" ht="15" customHeight="1">
      <c r="A80" s="25" t="s">
        <v>1</v>
      </c>
      <c r="B80" s="3">
        <v>20260312</v>
      </c>
    </row>
    <row r="81" spans="1:2" ht="15" customHeight="1">
      <c r="A81" s="25"/>
      <c r="B81" s="3" t="s">
        <v>51</v>
      </c>
    </row>
    <row r="82" spans="1:2" ht="15" customHeight="1">
      <c r="A82" s="1" t="s">
        <v>2</v>
      </c>
      <c r="B82" s="3">
        <v>95</v>
      </c>
    </row>
    <row r="83" spans="1:2" ht="15" customHeight="1">
      <c r="A83" s="1" t="s">
        <v>3</v>
      </c>
      <c r="B83" s="3">
        <v>95</v>
      </c>
    </row>
    <row r="84" spans="1:2" ht="15" customHeight="1">
      <c r="A84" s="1" t="s">
        <v>4</v>
      </c>
      <c r="B84" s="3" t="s">
        <v>6</v>
      </c>
    </row>
    <row r="86" spans="1:2" ht="15" customHeight="1">
      <c r="A86" s="25" t="s">
        <v>60</v>
      </c>
      <c r="B86" s="25"/>
    </row>
    <row r="87" spans="1:2" ht="15" customHeight="1">
      <c r="A87" s="25" t="s">
        <v>1</v>
      </c>
      <c r="B87" s="3">
        <v>20260415</v>
      </c>
    </row>
    <row r="88" spans="1:2" ht="15" customHeight="1">
      <c r="A88" s="25"/>
      <c r="B88" s="3" t="s">
        <v>48</v>
      </c>
    </row>
    <row r="89" spans="1:2" ht="15" customHeight="1">
      <c r="A89" s="1" t="s">
        <v>2</v>
      </c>
      <c r="B89" s="3">
        <v>64</v>
      </c>
    </row>
    <row r="90" spans="1:2" ht="15" customHeight="1">
      <c r="A90" s="1" t="s">
        <v>3</v>
      </c>
      <c r="B90" s="3">
        <v>64</v>
      </c>
    </row>
    <row r="91" spans="1:2" ht="15" customHeight="1">
      <c r="A91" s="1" t="s">
        <v>4</v>
      </c>
      <c r="B91" s="3" t="s">
        <v>6</v>
      </c>
    </row>
    <row r="93" spans="1:2" ht="15" customHeight="1">
      <c r="A93" s="25" t="s">
        <v>61</v>
      </c>
      <c r="B93" s="25"/>
    </row>
    <row r="94" spans="1:2" ht="15" customHeight="1">
      <c r="A94" s="25" t="s">
        <v>1</v>
      </c>
      <c r="B94" s="3">
        <v>20260415</v>
      </c>
    </row>
    <row r="95" spans="1:2" ht="15" customHeight="1">
      <c r="A95" s="25"/>
      <c r="B95" s="3" t="s">
        <v>53</v>
      </c>
    </row>
    <row r="96" spans="1:2" ht="15" customHeight="1">
      <c r="A96" s="1" t="s">
        <v>2</v>
      </c>
      <c r="B96" s="3">
        <v>89</v>
      </c>
    </row>
    <row r="97" spans="1:2" ht="15" customHeight="1">
      <c r="A97" s="1" t="s">
        <v>3</v>
      </c>
      <c r="B97" s="3">
        <v>89</v>
      </c>
    </row>
    <row r="98" spans="1:2" ht="15" customHeight="1">
      <c r="A98" s="1" t="s">
        <v>4</v>
      </c>
      <c r="B98" s="3" t="s">
        <v>6</v>
      </c>
    </row>
    <row r="100" spans="1:2" ht="15" customHeight="1">
      <c r="A100" s="25" t="s">
        <v>62</v>
      </c>
      <c r="B100" s="25"/>
    </row>
    <row r="101" spans="1:2" ht="15" customHeight="1">
      <c r="A101" s="25" t="s">
        <v>1</v>
      </c>
      <c r="B101" s="3">
        <v>20260415</v>
      </c>
    </row>
    <row r="102" spans="1:2" ht="15" customHeight="1">
      <c r="A102" s="25"/>
      <c r="B102" s="3" t="s">
        <v>50</v>
      </c>
    </row>
    <row r="103" spans="1:2" ht="15" customHeight="1">
      <c r="A103" s="1" t="s">
        <v>2</v>
      </c>
      <c r="B103" s="3">
        <v>99</v>
      </c>
    </row>
    <row r="104" spans="1:2" ht="15" customHeight="1">
      <c r="A104" s="1" t="s">
        <v>3</v>
      </c>
      <c r="B104" s="3">
        <v>99</v>
      </c>
    </row>
    <row r="105" spans="1:2" ht="15.6">
      <c r="A105" s="1" t="s">
        <v>4</v>
      </c>
      <c r="B105" s="3" t="s">
        <v>6</v>
      </c>
    </row>
    <row r="107" spans="1:2" ht="15.6">
      <c r="A107" s="25" t="s">
        <v>63</v>
      </c>
      <c r="B107" s="25"/>
    </row>
    <row r="108" spans="1:2" ht="15.6">
      <c r="A108" s="25" t="s">
        <v>1</v>
      </c>
      <c r="B108" s="3">
        <v>20260415</v>
      </c>
    </row>
    <row r="109" spans="1:2" ht="15.6">
      <c r="A109" s="25"/>
      <c r="B109" s="3" t="s">
        <v>51</v>
      </c>
    </row>
    <row r="110" spans="1:2" ht="15.6">
      <c r="A110" s="1" t="s">
        <v>2</v>
      </c>
      <c r="B110" s="3">
        <v>109</v>
      </c>
    </row>
    <row r="111" spans="1:2" ht="15.6">
      <c r="A111" s="1" t="s">
        <v>3</v>
      </c>
      <c r="B111" s="3">
        <v>109</v>
      </c>
    </row>
    <row r="112" spans="1:2" ht="15.6">
      <c r="A112" s="1" t="s">
        <v>4</v>
      </c>
      <c r="B112" s="3" t="s">
        <v>6</v>
      </c>
    </row>
  </sheetData>
  <mergeCells count="32">
    <mergeCell ref="A2:B2"/>
    <mergeCell ref="A3:A4"/>
    <mergeCell ref="A9:B9"/>
    <mergeCell ref="A10:A11"/>
    <mergeCell ref="A16:B16"/>
    <mergeCell ref="A17:A18"/>
    <mergeCell ref="A23:B23"/>
    <mergeCell ref="A24:A25"/>
    <mergeCell ref="A30:B30"/>
    <mergeCell ref="A31:A32"/>
    <mergeCell ref="A37:B37"/>
    <mergeCell ref="A38:A39"/>
    <mergeCell ref="A44:B44"/>
    <mergeCell ref="A45:A46"/>
    <mergeCell ref="A51:B51"/>
    <mergeCell ref="A52:A53"/>
    <mergeCell ref="A58:B58"/>
    <mergeCell ref="A59:A60"/>
    <mergeCell ref="A65:B65"/>
    <mergeCell ref="A66:A67"/>
    <mergeCell ref="A72:B72"/>
    <mergeCell ref="A73:A74"/>
    <mergeCell ref="A79:B79"/>
    <mergeCell ref="A80:A81"/>
    <mergeCell ref="A86:B86"/>
    <mergeCell ref="A107:B107"/>
    <mergeCell ref="A108:A109"/>
    <mergeCell ref="A87:A88"/>
    <mergeCell ref="A93:B93"/>
    <mergeCell ref="A94:A95"/>
    <mergeCell ref="A100:B100"/>
    <mergeCell ref="A101:A10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5"/>
  <sheetViews>
    <sheetView zoomScale="110" zoomScaleNormal="110" workbookViewId="0">
      <selection activeCell="B13" sqref="B13"/>
    </sheetView>
  </sheetViews>
  <sheetFormatPr defaultColWidth="10.44140625" defaultRowHeight="12.75" customHeight="1"/>
  <cols>
    <col min="1" max="1" width="17.88671875" customWidth="1"/>
    <col min="2" max="2" width="22.44140625" customWidth="1"/>
  </cols>
  <sheetData>
    <row r="1" spans="1:2" ht="15.6">
      <c r="A1" s="25" t="s">
        <v>27</v>
      </c>
      <c r="B1" s="25"/>
    </row>
    <row r="2" spans="1:2" ht="15.6">
      <c r="A2" s="25" t="s">
        <v>1</v>
      </c>
      <c r="B2" s="3" t="s">
        <v>64</v>
      </c>
    </row>
    <row r="3" spans="1:2" ht="15.6">
      <c r="A3" s="25"/>
      <c r="B3" s="3" t="s">
        <v>65</v>
      </c>
    </row>
    <row r="4" spans="1:2" ht="15.6">
      <c r="A4" s="25"/>
      <c r="B4" s="3" t="s">
        <v>48</v>
      </c>
    </row>
    <row r="5" spans="1:2" ht="15.6">
      <c r="A5" s="1" t="s">
        <v>2</v>
      </c>
      <c r="B5" s="3">
        <v>30</v>
      </c>
    </row>
    <row r="6" spans="1:2" ht="15.6">
      <c r="A6" s="1" t="s">
        <v>3</v>
      </c>
      <c r="B6" s="3">
        <v>30</v>
      </c>
    </row>
    <row r="7" spans="1:2" ht="15.6">
      <c r="A7" s="1" t="s">
        <v>4</v>
      </c>
      <c r="B7" s="3" t="s">
        <v>6</v>
      </c>
    </row>
    <row r="8" spans="1:2" ht="15.6">
      <c r="A8" s="3"/>
      <c r="B8" s="3"/>
    </row>
    <row r="9" spans="1:2" ht="15.6">
      <c r="A9" s="25" t="s">
        <v>28</v>
      </c>
      <c r="B9" s="25"/>
    </row>
    <row r="10" spans="1:2" ht="15.6">
      <c r="A10" s="25" t="s">
        <v>1</v>
      </c>
      <c r="B10" s="3" t="s">
        <v>64</v>
      </c>
    </row>
    <row r="11" spans="1:2" ht="15.6">
      <c r="A11" s="25"/>
      <c r="B11" s="3" t="s">
        <v>66</v>
      </c>
    </row>
    <row r="12" spans="1:2" ht="15.6">
      <c r="A12" s="25"/>
      <c r="B12" s="3" t="s">
        <v>48</v>
      </c>
    </row>
    <row r="13" spans="1:2" ht="15.6">
      <c r="A13" s="1" t="s">
        <v>2</v>
      </c>
      <c r="B13" s="3" t="s">
        <v>67</v>
      </c>
    </row>
    <row r="14" spans="1:2" ht="15.6">
      <c r="A14" s="1" t="s">
        <v>3</v>
      </c>
      <c r="B14" s="3" t="s">
        <v>67</v>
      </c>
    </row>
    <row r="15" spans="1:2" ht="15.6">
      <c r="A15" s="1" t="s">
        <v>4</v>
      </c>
      <c r="B15" s="3" t="s">
        <v>6</v>
      </c>
    </row>
  </sheetData>
  <mergeCells count="4">
    <mergeCell ref="A1:B1"/>
    <mergeCell ref="A2:A4"/>
    <mergeCell ref="A9:B9"/>
    <mergeCell ref="A10:A1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6"/>
  <sheetViews>
    <sheetView zoomScale="110" zoomScaleNormal="110" workbookViewId="0">
      <selection activeCell="B24" sqref="B24"/>
    </sheetView>
  </sheetViews>
  <sheetFormatPr defaultColWidth="10.44140625" defaultRowHeight="12.75" customHeight="1"/>
  <cols>
    <col min="1" max="1" width="17.88671875" customWidth="1"/>
    <col min="2" max="2" width="22.44140625" customWidth="1"/>
  </cols>
  <sheetData>
    <row r="1" spans="1:2" ht="15.6">
      <c r="A1" s="25" t="s">
        <v>68</v>
      </c>
      <c r="B1" s="25"/>
    </row>
    <row r="2" spans="1:2" ht="15.6">
      <c r="A2" s="25" t="s">
        <v>69</v>
      </c>
      <c r="B2" s="25"/>
    </row>
    <row r="3" spans="1:2" ht="15.6">
      <c r="A3" s="25" t="s">
        <v>1</v>
      </c>
      <c r="B3" s="3" t="s">
        <v>64</v>
      </c>
    </row>
    <row r="4" spans="1:2" ht="15.6">
      <c r="A4" s="25"/>
      <c r="B4" s="3" t="s">
        <v>66</v>
      </c>
    </row>
    <row r="5" spans="1:2" ht="15.6">
      <c r="A5" s="25"/>
      <c r="B5" s="3" t="s">
        <v>48</v>
      </c>
    </row>
    <row r="6" spans="1:2" ht="15.6">
      <c r="A6" s="1" t="s">
        <v>2</v>
      </c>
      <c r="B6" s="3">
        <v>25</v>
      </c>
    </row>
    <row r="7" spans="1:2" ht="15.6">
      <c r="A7" s="1" t="s">
        <v>3</v>
      </c>
      <c r="B7" s="3">
        <v>25</v>
      </c>
    </row>
    <row r="8" spans="1:2" ht="15.6">
      <c r="A8" s="1" t="s">
        <v>4</v>
      </c>
      <c r="B8" s="3" t="s">
        <v>6</v>
      </c>
    </row>
    <row r="9" spans="1:2" ht="14.4"/>
    <row r="10" spans="1:2" ht="15.6">
      <c r="A10" s="25" t="s">
        <v>70</v>
      </c>
      <c r="B10" s="25"/>
    </row>
    <row r="11" spans="1:2" ht="15.6">
      <c r="A11" s="25" t="s">
        <v>69</v>
      </c>
      <c r="B11" s="25"/>
    </row>
    <row r="12" spans="1:2" ht="15.6">
      <c r="A12" s="25" t="s">
        <v>1</v>
      </c>
      <c r="B12" s="3" t="s">
        <v>64</v>
      </c>
    </row>
    <row r="13" spans="1:2" ht="15.6">
      <c r="A13" s="25"/>
      <c r="B13" s="3" t="s">
        <v>65</v>
      </c>
    </row>
    <row r="14" spans="1:2" ht="15.6">
      <c r="A14" s="25"/>
      <c r="B14" s="3" t="s">
        <v>71</v>
      </c>
    </row>
    <row r="15" spans="1:2" ht="15.6">
      <c r="A15" s="1" t="s">
        <v>2</v>
      </c>
      <c r="B15" s="3">
        <f>SUM((30 + 65) * 0.8)</f>
        <v>76</v>
      </c>
    </row>
    <row r="16" spans="1:2" ht="15.6">
      <c r="A16" s="1" t="s">
        <v>3</v>
      </c>
      <c r="B16" s="3">
        <f>SUM((30 + 65) * 0.8)</f>
        <v>76</v>
      </c>
    </row>
    <row r="17" spans="1:2" ht="15.6">
      <c r="A17" s="1" t="s">
        <v>4</v>
      </c>
      <c r="B17" s="3" t="s">
        <v>6</v>
      </c>
    </row>
    <row r="18" spans="1:2" ht="14.4"/>
    <row r="19" spans="1:2" ht="15.6">
      <c r="A19" s="25" t="s">
        <v>72</v>
      </c>
      <c r="B19" s="25"/>
    </row>
    <row r="20" spans="1:2" ht="15.6">
      <c r="A20" s="25" t="s">
        <v>73</v>
      </c>
      <c r="B20" s="25"/>
    </row>
    <row r="21" spans="1:2" ht="15.6">
      <c r="A21" s="25" t="s">
        <v>1</v>
      </c>
      <c r="B21" s="3" t="s">
        <v>64</v>
      </c>
    </row>
    <row r="22" spans="1:2" ht="15.6">
      <c r="A22" s="25"/>
      <c r="B22" s="3" t="s">
        <v>66</v>
      </c>
    </row>
    <row r="23" spans="1:2" ht="15.6">
      <c r="A23" s="25"/>
      <c r="B23" s="3" t="s">
        <v>71</v>
      </c>
    </row>
    <row r="24" spans="1:2" ht="15.6">
      <c r="A24" s="1" t="s">
        <v>2</v>
      </c>
      <c r="B24" s="3">
        <f>SUM((30 + 65) * 0.8 -10)</f>
        <v>66</v>
      </c>
    </row>
    <row r="25" spans="1:2" ht="15.6">
      <c r="A25" s="1" t="s">
        <v>3</v>
      </c>
      <c r="B25" s="3">
        <f>SUM((30 + 65) * 0.8 -10)</f>
        <v>66</v>
      </c>
    </row>
    <row r="26" spans="1:2" ht="15.6">
      <c r="A26" s="1" t="s">
        <v>4</v>
      </c>
      <c r="B26" s="3" t="s">
        <v>6</v>
      </c>
    </row>
  </sheetData>
  <mergeCells count="9">
    <mergeCell ref="A12:A14"/>
    <mergeCell ref="A19:B19"/>
    <mergeCell ref="A20:B20"/>
    <mergeCell ref="A21:A23"/>
    <mergeCell ref="A1:B1"/>
    <mergeCell ref="A2:B2"/>
    <mergeCell ref="A3:A5"/>
    <mergeCell ref="A10:B10"/>
    <mergeCell ref="A11:B11"/>
  </mergeCells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&amp;C&amp;"FreeSans,Regular"&amp;10&amp;Kffffff&amp;A</oddHeader>
    <oddFooter>&amp;C&amp;"FreeSans,Regular"&amp;10&amp;KffffffPage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3"/>
  <sheetViews>
    <sheetView zoomScale="110" zoomScaleNormal="110" workbookViewId="0">
      <selection activeCell="B4" sqref="B4"/>
    </sheetView>
  </sheetViews>
  <sheetFormatPr defaultColWidth="10.44140625" defaultRowHeight="12.75" customHeight="1"/>
  <cols>
    <col min="1" max="1" width="18.109375" customWidth="1"/>
    <col min="2" max="2" width="23.44140625" customWidth="1"/>
  </cols>
  <sheetData>
    <row r="1" spans="1:2" ht="15.6">
      <c r="A1" s="25" t="s">
        <v>74</v>
      </c>
      <c r="B1" s="25"/>
    </row>
    <row r="2" spans="1:2" ht="15.6">
      <c r="A2" s="25" t="s">
        <v>69</v>
      </c>
      <c r="B2" s="25"/>
    </row>
    <row r="3" spans="1:2" ht="15.6">
      <c r="A3" s="1" t="s">
        <v>75</v>
      </c>
      <c r="B3" s="3" t="s">
        <v>76</v>
      </c>
    </row>
    <row r="4" spans="1:2" ht="15.6">
      <c r="A4" s="1" t="s">
        <v>1</v>
      </c>
      <c r="B4" s="3" t="s">
        <v>48</v>
      </c>
    </row>
    <row r="5" spans="1:2" ht="15.6">
      <c r="A5" s="1" t="s">
        <v>2</v>
      </c>
      <c r="B5" s="3" t="s">
        <v>77</v>
      </c>
    </row>
    <row r="6" spans="1:2" ht="15.6">
      <c r="A6" s="1" t="s">
        <v>3</v>
      </c>
      <c r="B6" s="3" t="s">
        <v>77</v>
      </c>
    </row>
    <row r="7" spans="1:2" ht="15.6">
      <c r="A7" s="1" t="s">
        <v>4</v>
      </c>
      <c r="B7" s="3" t="s">
        <v>6</v>
      </c>
    </row>
    <row r="9" spans="1:2" ht="15.6">
      <c r="A9" s="25" t="s">
        <v>78</v>
      </c>
      <c r="B9" s="25"/>
    </row>
    <row r="10" spans="1:2" ht="15.6">
      <c r="A10" s="25" t="s">
        <v>69</v>
      </c>
      <c r="B10" s="25"/>
    </row>
    <row r="11" spans="1:2" ht="15.6">
      <c r="A11" s="1" t="s">
        <v>75</v>
      </c>
      <c r="B11" s="3" t="s">
        <v>79</v>
      </c>
    </row>
    <row r="12" spans="1:2" ht="15.6">
      <c r="A12" s="1" t="s">
        <v>1</v>
      </c>
      <c r="B12" s="3" t="s">
        <v>50</v>
      </c>
    </row>
    <row r="13" spans="1:2" ht="15.6">
      <c r="A13" s="1" t="s">
        <v>2</v>
      </c>
      <c r="B13" s="3" t="s">
        <v>80</v>
      </c>
    </row>
    <row r="14" spans="1:2" ht="15.6">
      <c r="A14" s="1" t="s">
        <v>3</v>
      </c>
      <c r="B14" s="3" t="s">
        <v>80</v>
      </c>
    </row>
    <row r="15" spans="1:2" ht="15.6">
      <c r="A15" s="1" t="s">
        <v>4</v>
      </c>
      <c r="B15" s="3" t="s">
        <v>6</v>
      </c>
    </row>
    <row r="17" spans="1:2" ht="15.6">
      <c r="A17" s="25" t="s">
        <v>78</v>
      </c>
      <c r="B17" s="25"/>
    </row>
    <row r="18" spans="1:2" ht="15.6">
      <c r="A18" s="25" t="s">
        <v>69</v>
      </c>
      <c r="B18" s="25"/>
    </row>
    <row r="19" spans="1:2" ht="15.6">
      <c r="A19" s="1" t="s">
        <v>75</v>
      </c>
      <c r="B19" s="3" t="s">
        <v>81</v>
      </c>
    </row>
    <row r="20" spans="1:2" ht="15.6">
      <c r="A20" s="1" t="s">
        <v>1</v>
      </c>
      <c r="B20" s="3" t="s">
        <v>48</v>
      </c>
    </row>
    <row r="21" spans="1:2" ht="15.6">
      <c r="A21" s="1" t="s">
        <v>2</v>
      </c>
      <c r="B21" s="3" t="s">
        <v>82</v>
      </c>
    </row>
    <row r="22" spans="1:2" ht="15.6">
      <c r="A22" s="1" t="s">
        <v>3</v>
      </c>
      <c r="B22" s="3" t="s">
        <v>82</v>
      </c>
    </row>
    <row r="23" spans="1:2" ht="15.6">
      <c r="A23" s="1" t="s">
        <v>4</v>
      </c>
      <c r="B23" s="3" t="s">
        <v>6</v>
      </c>
    </row>
  </sheetData>
  <mergeCells count="6">
    <mergeCell ref="A18:B18"/>
    <mergeCell ref="A1:B1"/>
    <mergeCell ref="A2:B2"/>
    <mergeCell ref="A9:B9"/>
    <mergeCell ref="A10:B10"/>
    <mergeCell ref="A17:B17"/>
  </mergeCells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&amp;C&amp;"FreeSans,Regular"&amp;10&amp;Kffffff&amp;A</oddHeader>
    <oddFooter>&amp;C&amp;"FreeSans,Regular"&amp;10&amp;KffffffPage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4"/>
  <sheetViews>
    <sheetView zoomScale="110" zoomScaleNormal="110" workbookViewId="0">
      <selection sqref="A1:B24"/>
    </sheetView>
  </sheetViews>
  <sheetFormatPr defaultColWidth="10.44140625" defaultRowHeight="12.75" customHeight="1"/>
  <cols>
    <col min="1" max="1" width="17.88671875" customWidth="1"/>
    <col min="2" max="2" width="25.77734375" customWidth="1"/>
  </cols>
  <sheetData>
    <row r="1" spans="1:2" ht="12.75" customHeight="1">
      <c r="A1" s="25" t="s">
        <v>83</v>
      </c>
      <c r="B1" s="25"/>
    </row>
    <row r="2" spans="1:2" ht="12.75" customHeight="1">
      <c r="A2" s="1" t="s">
        <v>75</v>
      </c>
      <c r="B2" s="3" t="s">
        <v>84</v>
      </c>
    </row>
    <row r="3" spans="1:2" ht="12.75" customHeight="1">
      <c r="A3" s="1" t="s">
        <v>1</v>
      </c>
      <c r="B3" s="3" t="s">
        <v>85</v>
      </c>
    </row>
    <row r="4" spans="1:2" ht="12.75" customHeight="1">
      <c r="A4" s="1" t="s">
        <v>2</v>
      </c>
      <c r="B4" s="3" t="s">
        <v>86</v>
      </c>
    </row>
    <row r="5" spans="1:2" ht="12.75" customHeight="1">
      <c r="A5" s="1" t="s">
        <v>3</v>
      </c>
      <c r="B5" s="3" t="s">
        <v>87</v>
      </c>
    </row>
    <row r="6" spans="1:2" ht="12.75" customHeight="1">
      <c r="A6" s="1" t="s">
        <v>4</v>
      </c>
      <c r="B6" s="3" t="s">
        <v>6</v>
      </c>
    </row>
    <row r="7" spans="1:2" ht="12.75" customHeight="1">
      <c r="A7" s="25" t="s">
        <v>83</v>
      </c>
      <c r="B7" s="25"/>
    </row>
    <row r="8" spans="1:2" ht="12.75" customHeight="1">
      <c r="A8" s="1" t="s">
        <v>75</v>
      </c>
      <c r="B8" s="3" t="s">
        <v>84</v>
      </c>
    </row>
    <row r="9" spans="1:2" ht="12.75" customHeight="1">
      <c r="A9" s="1" t="s">
        <v>1</v>
      </c>
      <c r="B9" s="3" t="s">
        <v>88</v>
      </c>
    </row>
    <row r="10" spans="1:2" ht="12.75" customHeight="1">
      <c r="A10" s="1" t="s">
        <v>2</v>
      </c>
      <c r="B10" s="3" t="s">
        <v>86</v>
      </c>
    </row>
    <row r="11" spans="1:2" ht="12.75" customHeight="1">
      <c r="A11" s="1" t="s">
        <v>3</v>
      </c>
      <c r="B11" s="3" t="s">
        <v>87</v>
      </c>
    </row>
    <row r="12" spans="1:2" ht="12.75" customHeight="1">
      <c r="A12" s="1" t="s">
        <v>4</v>
      </c>
      <c r="B12" s="3" t="s">
        <v>6</v>
      </c>
    </row>
    <row r="13" spans="1:2" ht="12.75" customHeight="1">
      <c r="A13" s="25" t="s">
        <v>83</v>
      </c>
      <c r="B13" s="25"/>
    </row>
    <row r="14" spans="1:2" ht="12.75" customHeight="1">
      <c r="A14" s="1" t="s">
        <v>75</v>
      </c>
      <c r="B14" s="3" t="s">
        <v>84</v>
      </c>
    </row>
    <row r="15" spans="1:2" ht="12.75" customHeight="1">
      <c r="A15" s="1" t="s">
        <v>1</v>
      </c>
      <c r="B15" s="3" t="s">
        <v>154</v>
      </c>
    </row>
    <row r="16" spans="1:2" ht="12.75" customHeight="1">
      <c r="A16" s="1" t="s">
        <v>2</v>
      </c>
      <c r="B16" s="3" t="s">
        <v>86</v>
      </c>
    </row>
    <row r="17" spans="1:2" ht="12.75" customHeight="1">
      <c r="A17" s="1" t="s">
        <v>3</v>
      </c>
      <c r="B17" s="3" t="s">
        <v>87</v>
      </c>
    </row>
    <row r="18" spans="1:2" ht="12.75" customHeight="1">
      <c r="A18" s="1" t="s">
        <v>4</v>
      </c>
      <c r="B18" s="3" t="s">
        <v>6</v>
      </c>
    </row>
    <row r="19" spans="1:2" ht="12.75" customHeight="1">
      <c r="A19" s="25" t="s">
        <v>83</v>
      </c>
      <c r="B19" s="25"/>
    </row>
    <row r="20" spans="1:2" ht="12.75" customHeight="1">
      <c r="A20" s="1" t="s">
        <v>75</v>
      </c>
      <c r="B20" s="3" t="s">
        <v>84</v>
      </c>
    </row>
    <row r="21" spans="1:2" ht="12.75" customHeight="1">
      <c r="A21" s="1" t="s">
        <v>1</v>
      </c>
      <c r="B21" s="3" t="s">
        <v>155</v>
      </c>
    </row>
    <row r="22" spans="1:2" ht="12.75" customHeight="1">
      <c r="A22" s="1" t="s">
        <v>2</v>
      </c>
      <c r="B22" s="3" t="s">
        <v>86</v>
      </c>
    </row>
    <row r="23" spans="1:2" ht="12.75" customHeight="1">
      <c r="A23" s="1" t="s">
        <v>3</v>
      </c>
      <c r="B23" s="3" t="s">
        <v>87</v>
      </c>
    </row>
    <row r="24" spans="1:2" ht="12.75" customHeight="1">
      <c r="A24" s="1" t="s">
        <v>4</v>
      </c>
      <c r="B24" s="3" t="s">
        <v>6</v>
      </c>
    </row>
  </sheetData>
  <mergeCells count="4">
    <mergeCell ref="A1:B1"/>
    <mergeCell ref="A7:B7"/>
    <mergeCell ref="A13:B13"/>
    <mergeCell ref="A19:B19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43"/>
  <sheetViews>
    <sheetView tabSelected="1" zoomScale="110" zoomScaleNormal="110" workbookViewId="0">
      <selection activeCell="B117" sqref="A1:F117"/>
    </sheetView>
  </sheetViews>
  <sheetFormatPr defaultColWidth="10.44140625" defaultRowHeight="13.8" customHeight="1"/>
  <cols>
    <col min="1" max="1" width="11.88671875" style="14" bestFit="1" customWidth="1"/>
    <col min="2" max="2" width="21.109375" style="14" bestFit="1" customWidth="1"/>
    <col min="3" max="3" width="14.109375" style="14" bestFit="1" customWidth="1"/>
    <col min="4" max="4" width="21.109375" style="14" bestFit="1" customWidth="1"/>
    <col min="5" max="5" width="16" style="14" bestFit="1" customWidth="1"/>
    <col min="6" max="6" width="21.109375" style="14" bestFit="1" customWidth="1"/>
    <col min="7" max="7" width="7.88671875" style="14" customWidth="1"/>
    <col min="8" max="8" width="7.6640625" style="14" bestFit="1" customWidth="1"/>
    <col min="9" max="9" width="21.109375" style="14" bestFit="1" customWidth="1"/>
    <col min="10" max="10" width="6.33203125" style="14" bestFit="1" customWidth="1"/>
    <col min="11" max="11" width="6" style="14" customWidth="1"/>
    <col min="12" max="12" width="7.33203125" style="14" bestFit="1" customWidth="1"/>
    <col min="13" max="13" width="6.88671875" style="14" bestFit="1" customWidth="1"/>
    <col min="14" max="14" width="6.33203125" style="14" bestFit="1" customWidth="1"/>
    <col min="15" max="15" width="6" style="14" customWidth="1"/>
    <col min="16" max="16" width="7.33203125" style="14" bestFit="1" customWidth="1"/>
    <col min="17" max="17" width="7.109375" style="14" customWidth="1"/>
    <col min="18" max="16384" width="10.44140625" style="14"/>
  </cols>
  <sheetData>
    <row r="1" spans="1:5">
      <c r="A1" s="13">
        <v>20250601</v>
      </c>
      <c r="B1" s="14" t="s">
        <v>5</v>
      </c>
    </row>
    <row r="2" spans="1:5">
      <c r="A2" s="13">
        <v>20250930</v>
      </c>
      <c r="B2" s="15" t="s">
        <v>5</v>
      </c>
    </row>
    <row r="3" spans="1:5">
      <c r="A3" s="13">
        <v>20251001</v>
      </c>
      <c r="B3" s="14" t="s">
        <v>7</v>
      </c>
    </row>
    <row r="4" spans="1:5">
      <c r="A4" s="13">
        <v>20251031</v>
      </c>
      <c r="B4" s="15" t="s">
        <v>7</v>
      </c>
      <c r="D4" s="13" t="s">
        <v>89</v>
      </c>
      <c r="E4" s="14" t="s">
        <v>90</v>
      </c>
    </row>
    <row r="5" spans="1:5">
      <c r="A5" s="13">
        <v>20251101</v>
      </c>
      <c r="B5" s="15" t="s">
        <v>8</v>
      </c>
      <c r="D5" s="16" t="s">
        <v>91</v>
      </c>
      <c r="E5" s="14" t="s">
        <v>92</v>
      </c>
    </row>
    <row r="6" spans="1:5">
      <c r="A6" s="13">
        <v>20260228</v>
      </c>
      <c r="B6" s="15" t="s">
        <v>8</v>
      </c>
      <c r="D6" s="17" t="s">
        <v>93</v>
      </c>
      <c r="E6" s="14" t="s">
        <v>94</v>
      </c>
    </row>
    <row r="7" spans="1:5">
      <c r="A7" s="13">
        <v>20260301</v>
      </c>
      <c r="B7" s="15" t="s">
        <v>9</v>
      </c>
      <c r="D7" s="18" t="s">
        <v>95</v>
      </c>
      <c r="E7" s="14" t="s">
        <v>96</v>
      </c>
    </row>
    <row r="8" spans="1:5">
      <c r="A8" s="13">
        <v>20260401</v>
      </c>
      <c r="B8" s="15" t="s">
        <v>9</v>
      </c>
      <c r="D8" s="19" t="s">
        <v>97</v>
      </c>
      <c r="E8" s="14" t="s">
        <v>98</v>
      </c>
    </row>
    <row r="9" spans="1:5">
      <c r="A9" s="13">
        <v>20260402</v>
      </c>
      <c r="B9" s="14" t="s">
        <v>10</v>
      </c>
      <c r="D9" s="20" t="s">
        <v>99</v>
      </c>
      <c r="E9" s="14" t="s">
        <v>100</v>
      </c>
    </row>
    <row r="10" spans="1:5">
      <c r="A10" s="13">
        <v>20260430</v>
      </c>
      <c r="B10" s="15" t="s">
        <v>10</v>
      </c>
      <c r="D10" s="15" t="s">
        <v>101</v>
      </c>
    </row>
    <row r="11" spans="1:5">
      <c r="A11" s="13">
        <v>20260501</v>
      </c>
      <c r="B11" s="15" t="s">
        <v>11</v>
      </c>
    </row>
    <row r="12" spans="1:5">
      <c r="A12" s="13">
        <v>20260531</v>
      </c>
      <c r="B12" s="14" t="s">
        <v>11</v>
      </c>
    </row>
    <row r="13" spans="1:5">
      <c r="B13" s="28" t="s">
        <v>102</v>
      </c>
      <c r="C13" s="28"/>
      <c r="D13" s="28"/>
      <c r="E13" s="28"/>
    </row>
    <row r="14" spans="1:5">
      <c r="B14" s="14" t="s">
        <v>48</v>
      </c>
      <c r="C14" s="14" t="s">
        <v>49</v>
      </c>
      <c r="D14" s="14" t="s">
        <v>50</v>
      </c>
      <c r="E14" s="14" t="s">
        <v>51</v>
      </c>
    </row>
    <row r="15" spans="1:5">
      <c r="A15" s="14" t="s">
        <v>7</v>
      </c>
      <c r="B15" s="14">
        <v>30</v>
      </c>
      <c r="C15" s="14">
        <v>50</v>
      </c>
      <c r="D15" s="14">
        <v>65</v>
      </c>
      <c r="E15" s="14">
        <v>75</v>
      </c>
    </row>
    <row r="16" spans="1:5">
      <c r="A16" s="14" t="s">
        <v>8</v>
      </c>
      <c r="B16" s="14">
        <v>40</v>
      </c>
      <c r="C16" s="14">
        <v>55</v>
      </c>
      <c r="D16" s="14">
        <v>70</v>
      </c>
      <c r="E16" s="14">
        <v>80</v>
      </c>
    </row>
    <row r="17" spans="1:5">
      <c r="A17" s="14" t="s">
        <v>108</v>
      </c>
      <c r="B17" s="14">
        <v>50</v>
      </c>
      <c r="C17" s="15">
        <v>70</v>
      </c>
      <c r="D17" s="14">
        <v>85</v>
      </c>
      <c r="E17" s="14">
        <v>95</v>
      </c>
    </row>
    <row r="18" spans="1:5">
      <c r="A18" s="14" t="s">
        <v>10</v>
      </c>
      <c r="B18" s="14">
        <v>64</v>
      </c>
      <c r="C18" s="14">
        <v>89</v>
      </c>
      <c r="D18" s="14">
        <v>99</v>
      </c>
      <c r="E18" s="14">
        <v>109</v>
      </c>
    </row>
    <row r="19" spans="1:5">
      <c r="B19" s="28" t="s">
        <v>103</v>
      </c>
      <c r="C19" s="28"/>
      <c r="D19" s="28"/>
      <c r="E19" s="28"/>
    </row>
    <row r="20" spans="1:5">
      <c r="B20" s="14" t="s">
        <v>48</v>
      </c>
      <c r="C20" s="14" t="s">
        <v>49</v>
      </c>
      <c r="D20" s="14" t="s">
        <v>50</v>
      </c>
      <c r="E20" s="14" t="s">
        <v>51</v>
      </c>
    </row>
    <row r="21" spans="1:5">
      <c r="A21" s="14" t="s">
        <v>7</v>
      </c>
      <c r="B21" s="14">
        <f>B15-5</f>
        <v>25</v>
      </c>
      <c r="C21" s="14">
        <f>C15-5</f>
        <v>45</v>
      </c>
      <c r="D21" s="14">
        <f>D15-5</f>
        <v>60</v>
      </c>
      <c r="E21" s="14">
        <f>E15-5</f>
        <v>70</v>
      </c>
    </row>
    <row r="22" spans="1:5">
      <c r="A22" s="14" t="s">
        <v>8</v>
      </c>
      <c r="B22" s="14">
        <f>B16-5</f>
        <v>35</v>
      </c>
      <c r="C22" s="14">
        <f>C16-5</f>
        <v>50</v>
      </c>
      <c r="D22" s="15">
        <f>D16-5</f>
        <v>65</v>
      </c>
      <c r="E22" s="14">
        <f>E16-5</f>
        <v>75</v>
      </c>
    </row>
    <row r="23" spans="1:5">
      <c r="A23" s="14" t="s">
        <v>108</v>
      </c>
      <c r="B23" s="14">
        <f>B17-5</f>
        <v>45</v>
      </c>
      <c r="C23" s="14">
        <f>C17-5</f>
        <v>65</v>
      </c>
      <c r="D23" s="14">
        <f>D17-5</f>
        <v>80</v>
      </c>
      <c r="E23" s="14">
        <f>E17-5</f>
        <v>90</v>
      </c>
    </row>
    <row r="24" spans="1:5">
      <c r="A24" s="14" t="s">
        <v>10</v>
      </c>
      <c r="B24" s="14">
        <f>B18-5</f>
        <v>59</v>
      </c>
      <c r="C24" s="14">
        <f>C18-5</f>
        <v>84</v>
      </c>
      <c r="D24" s="14">
        <f>D18-5</f>
        <v>94</v>
      </c>
      <c r="E24" s="14">
        <f>E18-5</f>
        <v>104</v>
      </c>
    </row>
    <row r="25" spans="1:5">
      <c r="B25" s="28" t="s">
        <v>102</v>
      </c>
      <c r="C25" s="28"/>
      <c r="D25" s="28"/>
      <c r="E25" s="28"/>
    </row>
    <row r="26" spans="1:5">
      <c r="B26" s="14" t="s">
        <v>104</v>
      </c>
      <c r="C26" s="14" t="s">
        <v>105</v>
      </c>
      <c r="D26" s="14" t="s">
        <v>106</v>
      </c>
      <c r="E26" s="14" t="s">
        <v>107</v>
      </c>
    </row>
    <row r="27" spans="1:5">
      <c r="A27" s="14" t="s">
        <v>7</v>
      </c>
      <c r="B27" s="14">
        <f>(B15+D15)*0.8</f>
        <v>76</v>
      </c>
      <c r="C27" s="14">
        <f>(B15+E15)*0.8</f>
        <v>84</v>
      </c>
      <c r="D27" s="14">
        <f>(C15+D15)*0.8</f>
        <v>92</v>
      </c>
      <c r="E27" s="14">
        <f>(C15+E15)*0.8</f>
        <v>100</v>
      </c>
    </row>
    <row r="28" spans="1:5">
      <c r="A28" s="14" t="s">
        <v>8</v>
      </c>
      <c r="B28" s="14">
        <f>(B16+D16)*0.8</f>
        <v>88</v>
      </c>
      <c r="C28" s="15">
        <f>(B16+E16)*0.8</f>
        <v>96</v>
      </c>
      <c r="D28" s="14">
        <f>(C16+D16)*0.8</f>
        <v>100</v>
      </c>
      <c r="E28" s="14">
        <f>(C16+E16)*0.8</f>
        <v>108</v>
      </c>
    </row>
    <row r="29" spans="1:5">
      <c r="A29" s="14" t="s">
        <v>108</v>
      </c>
      <c r="B29" s="14">
        <f>(B17+D17)*0.8</f>
        <v>108</v>
      </c>
      <c r="C29" s="14">
        <f>(B17+E17)*0.8</f>
        <v>116</v>
      </c>
      <c r="D29" s="15">
        <f>(C17+D17)*0.8</f>
        <v>124</v>
      </c>
      <c r="E29" s="14">
        <f>(C17+E17)*0.8</f>
        <v>132</v>
      </c>
    </row>
    <row r="30" spans="1:5">
      <c r="A30" s="14" t="s">
        <v>10</v>
      </c>
      <c r="B30" s="14">
        <f>(B18+D18)*0.8</f>
        <v>130.4</v>
      </c>
      <c r="C30" s="14">
        <f>(B18+E18)*0.8</f>
        <v>138.4</v>
      </c>
      <c r="D30" s="14">
        <f>(C18+D18)*0.8</f>
        <v>150.4</v>
      </c>
      <c r="E30" s="15">
        <f>(C18+E18)*0.8</f>
        <v>158.4</v>
      </c>
    </row>
    <row r="31" spans="1:5">
      <c r="B31" s="28" t="s">
        <v>103</v>
      </c>
      <c r="C31" s="28"/>
      <c r="D31" s="28"/>
      <c r="E31" s="28"/>
    </row>
    <row r="32" spans="1:5">
      <c r="B32" s="14" t="s">
        <v>104</v>
      </c>
      <c r="C32" s="14" t="s">
        <v>105</v>
      </c>
      <c r="D32" s="14" t="s">
        <v>106</v>
      </c>
      <c r="E32" s="14" t="s">
        <v>107</v>
      </c>
    </row>
    <row r="33" spans="1:7">
      <c r="A33" s="14" t="s">
        <v>7</v>
      </c>
      <c r="B33" s="15">
        <f>B27-10</f>
        <v>66</v>
      </c>
      <c r="C33" s="14">
        <f>C27-10</f>
        <v>74</v>
      </c>
      <c r="D33" s="14">
        <f>D27-10</f>
        <v>82</v>
      </c>
      <c r="E33" s="14">
        <f>E27-10</f>
        <v>90</v>
      </c>
    </row>
    <row r="34" spans="1:7">
      <c r="A34" s="14" t="s">
        <v>8</v>
      </c>
      <c r="B34" s="14">
        <f>B28-10</f>
        <v>78</v>
      </c>
      <c r="C34" s="14">
        <f>C28-10</f>
        <v>86</v>
      </c>
      <c r="D34" s="14">
        <f>D28-10</f>
        <v>90</v>
      </c>
      <c r="E34" s="14">
        <f>E28-10</f>
        <v>98</v>
      </c>
    </row>
    <row r="35" spans="1:7">
      <c r="A35" s="14" t="s">
        <v>108</v>
      </c>
      <c r="B35" s="14">
        <f>B29-10</f>
        <v>98</v>
      </c>
      <c r="C35" s="14">
        <f>C29-10</f>
        <v>106</v>
      </c>
      <c r="D35" s="14">
        <f>D29-10</f>
        <v>114</v>
      </c>
      <c r="E35" s="14">
        <f>E29-10</f>
        <v>122</v>
      </c>
    </row>
    <row r="36" spans="1:7">
      <c r="A36" s="14" t="s">
        <v>10</v>
      </c>
      <c r="B36" s="14">
        <f>B30-10</f>
        <v>120.4</v>
      </c>
      <c r="C36" s="14">
        <f>C30-10</f>
        <v>128.4</v>
      </c>
      <c r="D36" s="14">
        <f>D30-10</f>
        <v>140.4</v>
      </c>
      <c r="E36" s="14">
        <f>E30-10</f>
        <v>148.4</v>
      </c>
    </row>
    <row r="37" spans="1:7">
      <c r="A37" s="30" t="s">
        <v>27</v>
      </c>
      <c r="B37" s="30"/>
      <c r="C37" s="30"/>
      <c r="D37" s="30"/>
      <c r="E37" s="21" t="s">
        <v>4</v>
      </c>
      <c r="F37" s="14" t="s">
        <v>6</v>
      </c>
    </row>
    <row r="38" spans="1:7">
      <c r="A38" s="21" t="s">
        <v>1</v>
      </c>
      <c r="B38" s="13">
        <v>20250930</v>
      </c>
      <c r="C38" s="22" t="s">
        <v>2</v>
      </c>
      <c r="D38" s="13" t="s">
        <v>5</v>
      </c>
      <c r="E38" s="22" t="s">
        <v>3</v>
      </c>
      <c r="F38" s="13" t="s">
        <v>5</v>
      </c>
    </row>
    <row r="39" spans="1:7">
      <c r="A39" s="22" t="s">
        <v>109</v>
      </c>
      <c r="B39" s="28" t="s">
        <v>110</v>
      </c>
      <c r="C39" s="28"/>
      <c r="D39" s="28"/>
      <c r="E39" s="28"/>
      <c r="F39" s="28"/>
    </row>
    <row r="40" spans="1:7">
      <c r="A40" s="30" t="s">
        <v>28</v>
      </c>
      <c r="B40" s="30"/>
      <c r="C40" s="30"/>
      <c r="D40" s="30"/>
      <c r="E40" s="21" t="s">
        <v>4</v>
      </c>
      <c r="F40" s="14" t="s">
        <v>6</v>
      </c>
      <c r="G40" s="21"/>
    </row>
    <row r="41" spans="1:7" ht="13.8" customHeight="1">
      <c r="A41" s="30" t="s">
        <v>1</v>
      </c>
      <c r="B41" s="14" t="s">
        <v>111</v>
      </c>
      <c r="C41" s="32" t="s">
        <v>2</v>
      </c>
      <c r="D41" s="14" t="s">
        <v>111</v>
      </c>
      <c r="E41" s="32" t="s">
        <v>3</v>
      </c>
      <c r="F41" s="14" t="s">
        <v>111</v>
      </c>
    </row>
    <row r="42" spans="1:7">
      <c r="A42" s="30"/>
      <c r="B42" s="14" t="s">
        <v>112</v>
      </c>
      <c r="C42" s="32"/>
      <c r="D42" s="14" t="s">
        <v>112</v>
      </c>
      <c r="E42" s="32"/>
      <c r="F42" s="14" t="s">
        <v>112</v>
      </c>
    </row>
    <row r="43" spans="1:7">
      <c r="A43" s="30"/>
      <c r="B43" s="16">
        <v>19590502</v>
      </c>
      <c r="C43" s="32"/>
      <c r="D43" s="16" t="s">
        <v>113</v>
      </c>
      <c r="E43" s="32"/>
      <c r="F43" s="16" t="s">
        <v>113</v>
      </c>
    </row>
    <row r="44" spans="1:7">
      <c r="A44" s="30"/>
      <c r="B44" s="14" t="s">
        <v>36</v>
      </c>
      <c r="C44" s="32"/>
      <c r="D44" s="14" t="s">
        <v>36</v>
      </c>
      <c r="E44" s="32"/>
      <c r="F44" s="14" t="s">
        <v>36</v>
      </c>
    </row>
    <row r="45" spans="1:7">
      <c r="A45" s="30"/>
      <c r="B45" s="14" t="s">
        <v>114</v>
      </c>
      <c r="C45" s="32"/>
      <c r="D45" s="14" t="s">
        <v>114</v>
      </c>
      <c r="E45" s="32"/>
      <c r="F45" s="14" t="s">
        <v>114</v>
      </c>
    </row>
    <row r="46" spans="1:7">
      <c r="A46" s="30"/>
      <c r="B46" s="17" t="s">
        <v>115</v>
      </c>
      <c r="C46" s="32"/>
      <c r="D46" s="17" t="s">
        <v>115</v>
      </c>
      <c r="E46" s="32"/>
      <c r="F46" s="17" t="s">
        <v>115</v>
      </c>
    </row>
    <row r="47" spans="1:7">
      <c r="A47" s="30"/>
      <c r="B47" s="13">
        <v>20251031</v>
      </c>
      <c r="C47" s="32"/>
      <c r="D47" s="13">
        <v>20251015</v>
      </c>
      <c r="E47" s="32"/>
      <c r="F47" s="13">
        <v>20251015</v>
      </c>
    </row>
    <row r="48" spans="1:7">
      <c r="A48" s="30"/>
      <c r="B48" s="18" t="s">
        <v>116</v>
      </c>
      <c r="C48" s="32"/>
      <c r="D48" s="18" t="s">
        <v>116</v>
      </c>
      <c r="E48" s="32"/>
      <c r="F48" s="18" t="s">
        <v>116</v>
      </c>
    </row>
    <row r="49" spans="1:9">
      <c r="A49" s="22" t="s">
        <v>109</v>
      </c>
      <c r="B49" s="28" t="s">
        <v>117</v>
      </c>
      <c r="C49" s="28"/>
      <c r="D49" s="28"/>
      <c r="E49" s="28"/>
      <c r="F49" s="28"/>
    </row>
    <row r="50" spans="1:9">
      <c r="A50" s="30" t="s">
        <v>29</v>
      </c>
      <c r="B50" s="30"/>
      <c r="C50" s="30"/>
      <c r="D50" s="30"/>
      <c r="E50" s="21" t="s">
        <v>4</v>
      </c>
      <c r="F50" s="14" t="s">
        <v>6</v>
      </c>
      <c r="G50" s="30"/>
      <c r="H50" s="30"/>
      <c r="I50" s="30"/>
    </row>
    <row r="51" spans="1:9" ht="13.8" customHeight="1">
      <c r="A51" s="30" t="s">
        <v>1</v>
      </c>
      <c r="B51" s="14" t="s">
        <v>118</v>
      </c>
      <c r="C51" s="32" t="s">
        <v>2</v>
      </c>
      <c r="D51" s="14" t="s">
        <v>118</v>
      </c>
      <c r="E51" s="32" t="s">
        <v>3</v>
      </c>
      <c r="F51" s="14" t="s">
        <v>118</v>
      </c>
    </row>
    <row r="52" spans="1:9">
      <c r="A52" s="30"/>
      <c r="B52" s="14" t="s">
        <v>119</v>
      </c>
      <c r="C52" s="32"/>
      <c r="D52" s="14" t="s">
        <v>119</v>
      </c>
      <c r="E52" s="32"/>
      <c r="F52" s="14" t="s">
        <v>119</v>
      </c>
    </row>
    <row r="53" spans="1:9">
      <c r="A53" s="30"/>
      <c r="B53" s="16">
        <v>19990503</v>
      </c>
      <c r="C53" s="32"/>
      <c r="D53" s="16" t="s">
        <v>120</v>
      </c>
      <c r="E53" s="32"/>
      <c r="F53" s="16" t="s">
        <v>120</v>
      </c>
    </row>
    <row r="54" spans="1:9">
      <c r="A54" s="30"/>
      <c r="B54" s="14" t="s">
        <v>36</v>
      </c>
      <c r="C54" s="32"/>
      <c r="D54" s="14" t="s">
        <v>36</v>
      </c>
      <c r="E54" s="32"/>
      <c r="F54" s="14" t="s">
        <v>36</v>
      </c>
    </row>
    <row r="55" spans="1:9">
      <c r="A55" s="30"/>
      <c r="B55" s="14" t="s">
        <v>121</v>
      </c>
      <c r="C55" s="32"/>
      <c r="D55" s="14" t="s">
        <v>121</v>
      </c>
      <c r="E55" s="32"/>
      <c r="F55" s="14" t="s">
        <v>121</v>
      </c>
    </row>
    <row r="56" spans="1:9">
      <c r="A56" s="30"/>
      <c r="B56" s="17" t="s">
        <v>122</v>
      </c>
      <c r="C56" s="32"/>
      <c r="D56" s="17" t="s">
        <v>122</v>
      </c>
      <c r="E56" s="32"/>
      <c r="F56" s="17" t="s">
        <v>122</v>
      </c>
    </row>
    <row r="57" spans="1:9">
      <c r="A57" s="30"/>
      <c r="B57" s="13">
        <v>20260228</v>
      </c>
      <c r="C57" s="32"/>
      <c r="D57" s="13">
        <v>20260228</v>
      </c>
      <c r="E57" s="32"/>
      <c r="F57" s="13">
        <v>20260228</v>
      </c>
    </row>
    <row r="58" spans="1:9">
      <c r="A58" s="30"/>
      <c r="B58" s="18" t="s">
        <v>123</v>
      </c>
      <c r="C58" s="32"/>
      <c r="D58" s="18" t="s">
        <v>123</v>
      </c>
      <c r="E58" s="32"/>
      <c r="F58" s="18" t="s">
        <v>123</v>
      </c>
    </row>
    <row r="59" spans="1:9">
      <c r="A59" s="22" t="s">
        <v>109</v>
      </c>
      <c r="B59" s="28" t="s">
        <v>124</v>
      </c>
      <c r="C59" s="28"/>
      <c r="D59" s="28"/>
      <c r="E59" s="28"/>
      <c r="F59" s="28"/>
    </row>
    <row r="60" spans="1:9">
      <c r="A60" s="30" t="s">
        <v>46</v>
      </c>
      <c r="B60" s="30"/>
      <c r="C60" s="30"/>
      <c r="D60" s="30"/>
      <c r="E60" s="21" t="s">
        <v>4</v>
      </c>
      <c r="F60" s="14" t="s">
        <v>6</v>
      </c>
    </row>
    <row r="61" spans="1:9" ht="13.8" customHeight="1">
      <c r="A61" s="30" t="s">
        <v>1</v>
      </c>
      <c r="B61" s="14" t="s">
        <v>125</v>
      </c>
      <c r="C61" s="32" t="s">
        <v>2</v>
      </c>
      <c r="D61" s="14" t="s">
        <v>125</v>
      </c>
      <c r="E61" s="32" t="s">
        <v>3</v>
      </c>
      <c r="F61" s="14" t="s">
        <v>125</v>
      </c>
    </row>
    <row r="62" spans="1:9">
      <c r="A62" s="30"/>
      <c r="B62" s="14" t="s">
        <v>126</v>
      </c>
      <c r="C62" s="32"/>
      <c r="D62" s="14" t="s">
        <v>126</v>
      </c>
      <c r="E62" s="32"/>
      <c r="F62" s="14" t="s">
        <v>126</v>
      </c>
    </row>
    <row r="63" spans="1:9">
      <c r="A63" s="30"/>
      <c r="B63" s="16">
        <v>19990504</v>
      </c>
      <c r="C63" s="32"/>
      <c r="D63" s="16" t="s">
        <v>127</v>
      </c>
      <c r="E63" s="32"/>
      <c r="F63" s="16" t="s">
        <v>127</v>
      </c>
    </row>
    <row r="64" spans="1:9">
      <c r="A64" s="30"/>
      <c r="B64" s="14" t="s">
        <v>43</v>
      </c>
      <c r="C64" s="32"/>
      <c r="D64" s="14" t="s">
        <v>43</v>
      </c>
      <c r="E64" s="32"/>
      <c r="F64" s="14" t="s">
        <v>43</v>
      </c>
    </row>
    <row r="65" spans="1:6">
      <c r="A65" s="30"/>
      <c r="B65" s="14" t="s">
        <v>128</v>
      </c>
      <c r="C65" s="32"/>
      <c r="D65" s="14" t="s">
        <v>128</v>
      </c>
      <c r="E65" s="32"/>
      <c r="F65" s="14" t="s">
        <v>128</v>
      </c>
    </row>
    <row r="66" spans="1:6">
      <c r="A66" s="30"/>
      <c r="B66" s="17" t="s">
        <v>129</v>
      </c>
      <c r="C66" s="32"/>
      <c r="D66" s="17" t="s">
        <v>129</v>
      </c>
      <c r="E66" s="32"/>
      <c r="F66" s="17" t="s">
        <v>129</v>
      </c>
    </row>
    <row r="67" spans="1:6">
      <c r="A67" s="30"/>
      <c r="B67" s="13">
        <v>20260401</v>
      </c>
      <c r="C67" s="32"/>
      <c r="D67" s="13">
        <v>20260312</v>
      </c>
      <c r="E67" s="32"/>
      <c r="F67" s="13">
        <v>20260312</v>
      </c>
    </row>
    <row r="68" spans="1:6">
      <c r="A68" s="30"/>
      <c r="B68" s="18" t="s">
        <v>130</v>
      </c>
      <c r="C68" s="32"/>
      <c r="D68" s="18" t="s">
        <v>130</v>
      </c>
      <c r="E68" s="32"/>
      <c r="F68" s="18" t="s">
        <v>130</v>
      </c>
    </row>
    <row r="69" spans="1:6">
      <c r="A69" s="22" t="s">
        <v>109</v>
      </c>
      <c r="B69" s="28" t="s">
        <v>131</v>
      </c>
      <c r="C69" s="28"/>
      <c r="D69" s="28"/>
      <c r="E69" s="28"/>
      <c r="F69" s="28"/>
    </row>
    <row r="70" spans="1:6">
      <c r="A70" s="30" t="s">
        <v>47</v>
      </c>
      <c r="B70" s="30"/>
      <c r="C70" s="30"/>
      <c r="D70" s="30"/>
      <c r="E70" s="21" t="s">
        <v>4</v>
      </c>
      <c r="F70" s="14" t="s">
        <v>6</v>
      </c>
    </row>
    <row r="71" spans="1:6" ht="13.8" customHeight="1">
      <c r="A71" s="30" t="s">
        <v>1</v>
      </c>
      <c r="B71" s="14" t="s">
        <v>39</v>
      </c>
      <c r="C71" s="32" t="s">
        <v>2</v>
      </c>
      <c r="D71" s="14" t="s">
        <v>39</v>
      </c>
      <c r="E71" s="32" t="s">
        <v>3</v>
      </c>
      <c r="F71" s="14" t="s">
        <v>39</v>
      </c>
    </row>
    <row r="72" spans="1:6">
      <c r="A72" s="30"/>
      <c r="B72" s="14" t="s">
        <v>40</v>
      </c>
      <c r="C72" s="32"/>
      <c r="D72" s="14" t="s">
        <v>40</v>
      </c>
      <c r="E72" s="32"/>
      <c r="F72" s="14" t="s">
        <v>40</v>
      </c>
    </row>
    <row r="73" spans="1:6">
      <c r="A73" s="30"/>
      <c r="B73" s="16">
        <v>19610502</v>
      </c>
      <c r="C73" s="32"/>
      <c r="D73" s="16">
        <v>65</v>
      </c>
      <c r="E73" s="32"/>
      <c r="F73" s="16">
        <v>65</v>
      </c>
    </row>
    <row r="74" spans="1:6">
      <c r="A74" s="30"/>
      <c r="B74" s="14" t="s">
        <v>43</v>
      </c>
      <c r="C74" s="32"/>
      <c r="D74" s="14" t="s">
        <v>43</v>
      </c>
      <c r="E74" s="32"/>
      <c r="F74" s="14" t="s">
        <v>43</v>
      </c>
    </row>
    <row r="75" spans="1:6">
      <c r="A75" s="30"/>
      <c r="B75" s="14" t="s">
        <v>44</v>
      </c>
      <c r="C75" s="32"/>
      <c r="D75" s="14" t="s">
        <v>44</v>
      </c>
      <c r="E75" s="32"/>
      <c r="F75" s="14" t="s">
        <v>44</v>
      </c>
    </row>
    <row r="76" spans="1:6">
      <c r="A76" s="30"/>
      <c r="B76" s="17" t="s">
        <v>132</v>
      </c>
      <c r="C76" s="32"/>
      <c r="D76" s="17" t="s">
        <v>132</v>
      </c>
      <c r="E76" s="32"/>
      <c r="F76" s="17" t="s">
        <v>132</v>
      </c>
    </row>
    <row r="77" spans="1:6">
      <c r="A77" s="30"/>
      <c r="B77" s="13">
        <v>20260430</v>
      </c>
      <c r="C77" s="32"/>
      <c r="D77" s="13">
        <v>20260430</v>
      </c>
      <c r="E77" s="32"/>
      <c r="F77" s="13">
        <v>20260430</v>
      </c>
    </row>
    <row r="78" spans="1:6">
      <c r="A78" s="30"/>
      <c r="B78" s="18" t="s">
        <v>133</v>
      </c>
      <c r="C78" s="32"/>
      <c r="D78" s="18" t="s">
        <v>133</v>
      </c>
      <c r="E78" s="32"/>
      <c r="F78" s="18" t="s">
        <v>133</v>
      </c>
    </row>
    <row r="79" spans="1:6" ht="15">
      <c r="A79" s="22" t="s">
        <v>109</v>
      </c>
      <c r="B79" s="28" t="s">
        <v>156</v>
      </c>
      <c r="C79" s="28"/>
      <c r="D79" s="28"/>
      <c r="E79" s="28"/>
      <c r="F79" s="28"/>
    </row>
    <row r="80" spans="1:6">
      <c r="A80" s="30" t="s">
        <v>52</v>
      </c>
      <c r="B80" s="30"/>
      <c r="C80" s="30"/>
      <c r="D80" s="30"/>
      <c r="E80" s="21" t="s">
        <v>4</v>
      </c>
      <c r="F80" s="14" t="s">
        <v>6</v>
      </c>
    </row>
    <row r="81" spans="1:6" ht="13.8" customHeight="1">
      <c r="A81" s="30" t="s">
        <v>1</v>
      </c>
      <c r="B81" s="14" t="s">
        <v>32</v>
      </c>
      <c r="C81" s="32" t="s">
        <v>2</v>
      </c>
      <c r="D81" s="14" t="s">
        <v>32</v>
      </c>
      <c r="E81" s="32" t="s">
        <v>3</v>
      </c>
      <c r="F81" s="14" t="s">
        <v>32</v>
      </c>
    </row>
    <row r="82" spans="1:6">
      <c r="A82" s="30"/>
      <c r="B82" s="14" t="s">
        <v>134</v>
      </c>
      <c r="C82" s="32"/>
      <c r="D82" s="14" t="s">
        <v>134</v>
      </c>
      <c r="E82" s="32"/>
      <c r="F82" s="14" t="s">
        <v>134</v>
      </c>
    </row>
    <row r="83" spans="1:6">
      <c r="A83" s="30"/>
      <c r="B83" s="16">
        <v>19610415</v>
      </c>
      <c r="C83" s="32"/>
      <c r="D83" s="16">
        <v>65</v>
      </c>
      <c r="E83" s="32"/>
      <c r="F83" s="16">
        <v>65</v>
      </c>
    </row>
    <row r="84" spans="1:6">
      <c r="A84" s="30"/>
      <c r="B84" s="14" t="s">
        <v>36</v>
      </c>
      <c r="C84" s="32"/>
      <c r="D84" s="14" t="s">
        <v>36</v>
      </c>
      <c r="E84" s="32"/>
      <c r="F84" s="14" t="s">
        <v>36</v>
      </c>
    </row>
    <row r="85" spans="1:6">
      <c r="A85" s="30"/>
      <c r="B85" s="14" t="s">
        <v>135</v>
      </c>
      <c r="C85" s="32"/>
      <c r="D85" s="14" t="s">
        <v>135</v>
      </c>
      <c r="E85" s="32"/>
      <c r="F85" s="14" t="s">
        <v>135</v>
      </c>
    </row>
    <row r="86" spans="1:6">
      <c r="A86" s="30"/>
      <c r="B86" s="17" t="s">
        <v>50</v>
      </c>
      <c r="C86" s="32"/>
      <c r="D86" s="17" t="s">
        <v>50</v>
      </c>
      <c r="E86" s="32"/>
      <c r="F86" s="17" t="s">
        <v>50</v>
      </c>
    </row>
    <row r="87" spans="1:6">
      <c r="A87" s="30"/>
      <c r="B87" s="13">
        <v>20251101</v>
      </c>
      <c r="C87" s="32"/>
      <c r="D87" s="13">
        <v>20251101</v>
      </c>
      <c r="E87" s="32"/>
      <c r="F87" s="13">
        <v>20251101</v>
      </c>
    </row>
    <row r="88" spans="1:6">
      <c r="A88" s="30"/>
      <c r="B88" s="18" t="s">
        <v>136</v>
      </c>
      <c r="C88" s="32"/>
      <c r="D88" s="18" t="s">
        <v>136</v>
      </c>
      <c r="E88" s="32"/>
      <c r="F88" s="18" t="s">
        <v>136</v>
      </c>
    </row>
    <row r="89" spans="1:6">
      <c r="A89" s="22" t="s">
        <v>109</v>
      </c>
      <c r="B89" s="28" t="s">
        <v>137</v>
      </c>
      <c r="C89" s="28"/>
      <c r="D89" s="28"/>
      <c r="E89" s="28"/>
      <c r="F89" s="28"/>
    </row>
    <row r="90" spans="1:6">
      <c r="A90" s="30" t="s">
        <v>54</v>
      </c>
      <c r="B90" s="30"/>
      <c r="C90" s="30"/>
      <c r="D90" s="30"/>
      <c r="E90" s="21" t="s">
        <v>4</v>
      </c>
      <c r="F90" s="14" t="s">
        <v>6</v>
      </c>
    </row>
    <row r="91" spans="1:6" ht="13.8" customHeight="1">
      <c r="A91" s="30" t="s">
        <v>1</v>
      </c>
      <c r="B91" s="14" t="s">
        <v>138</v>
      </c>
      <c r="C91" s="32" t="s">
        <v>2</v>
      </c>
      <c r="D91" s="14" t="s">
        <v>138</v>
      </c>
      <c r="E91" s="32" t="s">
        <v>3</v>
      </c>
      <c r="F91" s="14" t="s">
        <v>138</v>
      </c>
    </row>
    <row r="92" spans="1:6">
      <c r="A92" s="30"/>
      <c r="B92" s="14" t="s">
        <v>139</v>
      </c>
      <c r="C92" s="32"/>
      <c r="D92" s="14" t="s">
        <v>139</v>
      </c>
      <c r="E92" s="32"/>
      <c r="F92" s="14" t="s">
        <v>139</v>
      </c>
    </row>
    <row r="93" spans="1:6">
      <c r="A93" s="30"/>
      <c r="B93" s="16">
        <v>20010520</v>
      </c>
      <c r="C93" s="32"/>
      <c r="D93" s="16">
        <v>24</v>
      </c>
      <c r="E93" s="32"/>
      <c r="F93" s="16">
        <v>24</v>
      </c>
    </row>
    <row r="94" spans="1:6">
      <c r="A94" s="30"/>
      <c r="B94" s="14" t="s">
        <v>43</v>
      </c>
      <c r="C94" s="32"/>
      <c r="D94" s="14" t="s">
        <v>43</v>
      </c>
      <c r="E94" s="32"/>
      <c r="F94" s="14" t="s">
        <v>43</v>
      </c>
    </row>
    <row r="95" spans="1:6">
      <c r="A95" s="30"/>
      <c r="B95" s="14" t="s">
        <v>140</v>
      </c>
      <c r="C95" s="32"/>
      <c r="D95" s="14" t="s">
        <v>140</v>
      </c>
      <c r="E95" s="32"/>
      <c r="F95" s="14" t="s">
        <v>140</v>
      </c>
    </row>
    <row r="96" spans="1:6">
      <c r="A96" s="30"/>
      <c r="B96" s="17" t="s">
        <v>49</v>
      </c>
      <c r="C96" s="32"/>
      <c r="D96" s="17" t="s">
        <v>49</v>
      </c>
      <c r="E96" s="32"/>
      <c r="F96" s="17" t="s">
        <v>49</v>
      </c>
    </row>
    <row r="97" spans="1:9">
      <c r="A97" s="30"/>
      <c r="B97" s="13">
        <v>20260301</v>
      </c>
      <c r="C97" s="32"/>
      <c r="D97" s="13">
        <v>20260301</v>
      </c>
      <c r="E97" s="32"/>
      <c r="F97" s="13">
        <v>20260301</v>
      </c>
    </row>
    <row r="98" spans="1:9">
      <c r="A98" s="30"/>
      <c r="B98" s="18">
        <v>70</v>
      </c>
      <c r="C98" s="32"/>
      <c r="D98" s="18">
        <v>70</v>
      </c>
      <c r="E98" s="32"/>
      <c r="F98" s="18">
        <v>70</v>
      </c>
    </row>
    <row r="99" spans="1:9">
      <c r="A99" s="22" t="s">
        <v>109</v>
      </c>
      <c r="B99" s="28" t="s">
        <v>141</v>
      </c>
      <c r="C99" s="28"/>
      <c r="D99" s="28"/>
      <c r="E99" s="28"/>
      <c r="F99" s="28"/>
    </row>
    <row r="100" spans="1:9">
      <c r="A100" s="30" t="s">
        <v>55</v>
      </c>
      <c r="B100" s="30"/>
      <c r="C100" s="30"/>
      <c r="D100" s="30"/>
      <c r="E100" s="21" t="s">
        <v>4</v>
      </c>
      <c r="F100" s="14" t="s">
        <v>6</v>
      </c>
    </row>
    <row r="101" spans="1:9">
      <c r="A101" s="21" t="s">
        <v>1</v>
      </c>
      <c r="B101" s="13">
        <v>20260501</v>
      </c>
      <c r="C101" s="22" t="s">
        <v>2</v>
      </c>
      <c r="D101" s="13" t="s">
        <v>11</v>
      </c>
      <c r="E101" s="22" t="s">
        <v>3</v>
      </c>
      <c r="F101" s="13" t="s">
        <v>11</v>
      </c>
    </row>
    <row r="102" spans="1:9">
      <c r="A102" s="22" t="s">
        <v>109</v>
      </c>
      <c r="B102" s="28" t="s">
        <v>142</v>
      </c>
      <c r="C102" s="28"/>
      <c r="D102" s="28"/>
      <c r="E102" s="28"/>
      <c r="F102" s="28"/>
    </row>
    <row r="103" spans="1:9">
      <c r="A103" s="30" t="s">
        <v>56</v>
      </c>
      <c r="B103" s="30"/>
      <c r="C103" s="30"/>
      <c r="D103" s="30"/>
      <c r="E103" s="21" t="s">
        <v>4</v>
      </c>
      <c r="F103" s="14" t="s">
        <v>6</v>
      </c>
    </row>
    <row r="104" spans="1:9">
      <c r="A104" s="21" t="s">
        <v>143</v>
      </c>
      <c r="B104" s="29" t="s">
        <v>144</v>
      </c>
      <c r="C104" s="29"/>
      <c r="D104" s="29"/>
      <c r="E104" s="29"/>
      <c r="F104" s="29"/>
      <c r="G104" s="23"/>
      <c r="H104" s="23"/>
      <c r="I104" s="23"/>
    </row>
    <row r="105" spans="1:9" ht="13.8" customHeight="1">
      <c r="A105" s="30" t="s">
        <v>1</v>
      </c>
      <c r="B105" s="14" t="s">
        <v>145</v>
      </c>
      <c r="C105" s="32" t="s">
        <v>2</v>
      </c>
      <c r="D105" s="31" t="s">
        <v>146</v>
      </c>
      <c r="E105" s="32" t="s">
        <v>3</v>
      </c>
      <c r="F105" s="31" t="s">
        <v>146</v>
      </c>
    </row>
    <row r="106" spans="1:9">
      <c r="A106" s="30"/>
      <c r="B106" s="14" t="s">
        <v>147</v>
      </c>
      <c r="C106" s="32"/>
      <c r="D106" s="28"/>
      <c r="E106" s="32"/>
      <c r="F106" s="28"/>
    </row>
    <row r="107" spans="1:9">
      <c r="A107" s="30"/>
      <c r="B107" s="14">
        <v>20000501</v>
      </c>
      <c r="C107" s="32"/>
      <c r="D107" s="28"/>
      <c r="E107" s="32"/>
      <c r="F107" s="28"/>
    </row>
    <row r="108" spans="1:9">
      <c r="A108" s="30"/>
      <c r="B108" s="14" t="s">
        <v>43</v>
      </c>
      <c r="C108" s="32"/>
      <c r="D108" s="28"/>
      <c r="E108" s="32"/>
      <c r="F108" s="28"/>
    </row>
    <row r="109" spans="1:9">
      <c r="A109" s="30"/>
      <c r="B109" s="14" t="s">
        <v>148</v>
      </c>
      <c r="C109" s="32"/>
      <c r="D109" s="31" t="s">
        <v>149</v>
      </c>
      <c r="E109" s="32"/>
      <c r="F109" s="31" t="s">
        <v>149</v>
      </c>
    </row>
    <row r="110" spans="1:9">
      <c r="A110" s="30"/>
      <c r="B110" s="19" t="s">
        <v>122</v>
      </c>
      <c r="C110" s="32"/>
      <c r="D110" s="28"/>
      <c r="E110" s="32"/>
      <c r="F110" s="28"/>
    </row>
    <row r="111" spans="1:9">
      <c r="A111" s="30"/>
      <c r="B111" s="14">
        <v>20260402</v>
      </c>
      <c r="C111" s="32"/>
      <c r="D111" s="28"/>
      <c r="E111" s="32"/>
      <c r="F111" s="28"/>
    </row>
    <row r="112" spans="1:9">
      <c r="A112" s="30"/>
      <c r="B112" s="14" t="s">
        <v>150</v>
      </c>
      <c r="C112" s="32"/>
      <c r="D112" s="28"/>
      <c r="E112" s="32"/>
      <c r="F112" s="28"/>
    </row>
    <row r="113" spans="1:9">
      <c r="A113" s="22" t="s">
        <v>109</v>
      </c>
      <c r="B113" s="29" t="s">
        <v>151</v>
      </c>
      <c r="C113" s="29"/>
      <c r="D113" s="29"/>
      <c r="E113" s="29"/>
      <c r="F113" s="29"/>
      <c r="G113" s="23"/>
      <c r="H113" s="23"/>
      <c r="I113" s="23"/>
    </row>
    <row r="114" spans="1:9">
      <c r="A114" s="30" t="s">
        <v>57</v>
      </c>
      <c r="B114" s="30"/>
      <c r="C114" s="30"/>
      <c r="D114" s="30"/>
      <c r="E114" s="21" t="s">
        <v>4</v>
      </c>
      <c r="F114" s="14" t="s">
        <v>6</v>
      </c>
    </row>
    <row r="115" spans="1:9">
      <c r="A115" s="30" t="s">
        <v>143</v>
      </c>
      <c r="B115" s="30"/>
      <c r="C115" s="29" t="s">
        <v>152</v>
      </c>
      <c r="D115" s="29"/>
      <c r="E115" s="29"/>
      <c r="F115" s="29"/>
      <c r="G115" s="23"/>
      <c r="H115" s="23"/>
      <c r="I115" s="23"/>
    </row>
    <row r="116" spans="1:9">
      <c r="A116" s="21" t="s">
        <v>1</v>
      </c>
      <c r="B116" s="20" t="s">
        <v>157</v>
      </c>
      <c r="C116" s="22" t="s">
        <v>2</v>
      </c>
      <c r="D116" s="20" t="s">
        <v>157</v>
      </c>
      <c r="E116" s="22" t="s">
        <v>3</v>
      </c>
      <c r="F116" s="20" t="s">
        <v>157</v>
      </c>
    </row>
    <row r="117" spans="1:9">
      <c r="A117" s="22" t="s">
        <v>109</v>
      </c>
      <c r="B117" s="28" t="s">
        <v>153</v>
      </c>
      <c r="C117" s="28"/>
      <c r="D117" s="28"/>
      <c r="E117" s="28"/>
      <c r="F117" s="28"/>
      <c r="G117" s="33"/>
      <c r="H117" s="33"/>
      <c r="I117" s="33"/>
    </row>
    <row r="118" spans="1:9"/>
    <row r="120" spans="1:9"/>
    <row r="121" spans="1:9"/>
    <row r="122" spans="1:9"/>
    <row r="123" spans="1:9"/>
    <row r="124" spans="1:9"/>
    <row r="125" spans="1:9"/>
    <row r="126" spans="1:9"/>
    <row r="127" spans="1:9"/>
    <row r="128" spans="1:9"/>
    <row r="129" spans="1:2"/>
    <row r="130" spans="1:2"/>
    <row r="131" spans="1:2"/>
    <row r="132" spans="1:2"/>
    <row r="133" spans="1:2"/>
    <row r="134" spans="1:2"/>
    <row r="135" spans="1:2"/>
    <row r="137" spans="1:2">
      <c r="A137" s="21"/>
      <c r="B137" s="21"/>
    </row>
    <row r="138" spans="1:2">
      <c r="B138" s="29"/>
    </row>
    <row r="139" spans="1:2">
      <c r="B139" s="29"/>
    </row>
    <row r="140" spans="1:2">
      <c r="B140" s="29"/>
    </row>
    <row r="141" spans="1:2">
      <c r="B141" s="29"/>
    </row>
    <row r="142" spans="1:2">
      <c r="B142" s="29"/>
    </row>
    <row r="143" spans="1:2">
      <c r="B143" s="29"/>
    </row>
  </sheetData>
  <mergeCells count="55">
    <mergeCell ref="A37:D37"/>
    <mergeCell ref="A60:D60"/>
    <mergeCell ref="B69:F69"/>
    <mergeCell ref="A70:D70"/>
    <mergeCell ref="B79:F79"/>
    <mergeCell ref="B13:E13"/>
    <mergeCell ref="B19:E19"/>
    <mergeCell ref="B25:E25"/>
    <mergeCell ref="B31:E31"/>
    <mergeCell ref="A41:A48"/>
    <mergeCell ref="C41:C48"/>
    <mergeCell ref="E41:E48"/>
    <mergeCell ref="A40:D40"/>
    <mergeCell ref="B39:F39"/>
    <mergeCell ref="A51:A58"/>
    <mergeCell ref="C51:C58"/>
    <mergeCell ref="E51:E58"/>
    <mergeCell ref="A50:D50"/>
    <mergeCell ref="G50:I50"/>
    <mergeCell ref="B49:F49"/>
    <mergeCell ref="A61:A68"/>
    <mergeCell ref="C61:C68"/>
    <mergeCell ref="E61:E68"/>
    <mergeCell ref="B59:F59"/>
    <mergeCell ref="A71:A78"/>
    <mergeCell ref="C71:C78"/>
    <mergeCell ref="E71:E78"/>
    <mergeCell ref="A81:A88"/>
    <mergeCell ref="C81:C88"/>
    <mergeCell ref="E81:E88"/>
    <mergeCell ref="A80:D80"/>
    <mergeCell ref="A91:A98"/>
    <mergeCell ref="C91:C98"/>
    <mergeCell ref="E91:E98"/>
    <mergeCell ref="B89:F89"/>
    <mergeCell ref="A90:D90"/>
    <mergeCell ref="B99:F99"/>
    <mergeCell ref="A100:D100"/>
    <mergeCell ref="B102:F102"/>
    <mergeCell ref="B104:F104"/>
    <mergeCell ref="A103:D103"/>
    <mergeCell ref="A105:A112"/>
    <mergeCell ref="C105:C112"/>
    <mergeCell ref="D105:D108"/>
    <mergeCell ref="E105:E112"/>
    <mergeCell ref="F105:F108"/>
    <mergeCell ref="D109:D112"/>
    <mergeCell ref="F109:F112"/>
    <mergeCell ref="B117:F117"/>
    <mergeCell ref="B138:B140"/>
    <mergeCell ref="B141:B143"/>
    <mergeCell ref="B113:F113"/>
    <mergeCell ref="A115:B115"/>
    <mergeCell ref="A114:D114"/>
    <mergeCell ref="C115:F115"/>
  </mergeCells>
  <hyperlinks>
    <hyperlink ref="B45" r:id="rId1" xr:uid="{00000000-0004-0000-0900-000000000000}"/>
    <hyperlink ref="D45" r:id="rId2" xr:uid="{00000000-0004-0000-0900-000001000000}"/>
    <hyperlink ref="F45" r:id="rId3" xr:uid="{00000000-0004-0000-0900-000002000000}"/>
    <hyperlink ref="B55" r:id="rId4" xr:uid="{00000000-0004-0000-0900-000003000000}"/>
    <hyperlink ref="D55" r:id="rId5" xr:uid="{00000000-0004-0000-0900-000004000000}"/>
    <hyperlink ref="F55" r:id="rId6" xr:uid="{00000000-0004-0000-0900-000005000000}"/>
    <hyperlink ref="B65" r:id="rId7" xr:uid="{00000000-0004-0000-0900-000006000000}"/>
    <hyperlink ref="D65" r:id="rId8" xr:uid="{00000000-0004-0000-0900-000007000000}"/>
    <hyperlink ref="F65" r:id="rId9" xr:uid="{00000000-0004-0000-0900-000008000000}"/>
    <hyperlink ref="B75" r:id="rId10" xr:uid="{00000000-0004-0000-0900-000009000000}"/>
    <hyperlink ref="D75" r:id="rId11" xr:uid="{00000000-0004-0000-0900-00000A000000}"/>
    <hyperlink ref="F75" r:id="rId12" xr:uid="{00000000-0004-0000-0900-00000B000000}"/>
    <hyperlink ref="B85" r:id="rId13" xr:uid="{00000000-0004-0000-0900-00000C000000}"/>
    <hyperlink ref="D85" r:id="rId14" xr:uid="{00000000-0004-0000-0900-00000D000000}"/>
    <hyperlink ref="F85" r:id="rId15" xr:uid="{00000000-0004-0000-0900-00000E000000}"/>
    <hyperlink ref="B95" r:id="rId16" xr:uid="{00000000-0004-0000-0900-00000F000000}"/>
    <hyperlink ref="D95" r:id="rId17" xr:uid="{00000000-0004-0000-0900-000010000000}"/>
    <hyperlink ref="F95" r:id="rId18" xr:uid="{00000000-0004-0000-0900-000011000000}"/>
    <hyperlink ref="B109" r:id="rId19" xr:uid="{00000000-0004-0000-0900-00001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&amp;C&amp;"FreeSerif,Regular"&amp;12&amp;Kffffff&amp;A</oddHeader>
    <oddFooter>&amp;C&amp;"FreeSerif,Regular"&amp;12&amp;KffffffPage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Req 1.1</vt:lpstr>
      <vt:lpstr>Req 1.2</vt:lpstr>
      <vt:lpstr>Req 2.1</vt:lpstr>
      <vt:lpstr>Req 2.2</vt:lpstr>
      <vt:lpstr>Req 3.1</vt:lpstr>
      <vt:lpstr>Req 3.2</vt:lpstr>
      <vt:lpstr>Req4.1</vt:lpstr>
      <vt:lpstr>Req4.2</vt:lpstr>
      <vt:lpstr>Req5</vt:lpstr>
      <vt:lpstr>Project3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Shoemaker, Andrew Jacob</dc:creator>
  <dc:description/>
  <cp:lastModifiedBy>Walker, Brandon Marcus</cp:lastModifiedBy>
  <cp:revision>16</cp:revision>
  <dcterms:created xsi:type="dcterms:W3CDTF">2025-10-08T23:02:22Z</dcterms:created>
  <dcterms:modified xsi:type="dcterms:W3CDTF">2025-11-12T07:12:33Z</dcterms:modified>
  <dc:language>en-US</dc:language>
</cp:coreProperties>
</file>